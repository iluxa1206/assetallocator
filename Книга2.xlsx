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G6" i="1" s="1"/>
  <c r="F2" i="1"/>
  <c r="H6" i="1" s="1"/>
  <c r="J6" i="1" s="1"/>
  <c r="J8" i="1" s="1"/>
  <c r="K5" i="1"/>
  <c r="K2" i="1"/>
  <c r="H5" i="1"/>
  <c r="I6" i="1" s="1"/>
  <c r="G5" i="1"/>
  <c r="H3" i="1"/>
  <c r="I8" i="1" s="1"/>
  <c r="G3" i="1"/>
  <c r="C2" i="1"/>
</calcChain>
</file>

<file path=xl/sharedStrings.xml><?xml version="1.0" encoding="utf-8"?>
<sst xmlns="http://schemas.openxmlformats.org/spreadsheetml/2006/main" count="11" uniqueCount="7">
  <si>
    <t>р5</t>
  </si>
  <si>
    <t>Д5</t>
  </si>
  <si>
    <t>Руб</t>
  </si>
  <si>
    <t>USD</t>
  </si>
  <si>
    <t>Число паев</t>
  </si>
  <si>
    <t>Оценка на дату</t>
  </si>
  <si>
    <t>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</si>
</sst>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showGridLines="0" tabSelected="1" workbookViewId="0">
      <selection activeCell="J10" sqref="J10"/>
    </sheetView>
  </sheetViews>
  <sheetFormatPr defaultRowHeight="15" x14ac:dyDescent="0.25"/>
  <cols>
    <col min="1" max="1" width="10.140625" bestFit="1" customWidth="1"/>
    <col min="2" max="2" width="10.140625" customWidth="1"/>
    <col min="5" max="8" width="20.28515625" customWidth="1"/>
    <col min="9" max="10" width="10" bestFit="1" customWidth="1"/>
  </cols>
  <sheetData>
    <row r="1" spans="1:11" x14ac:dyDescent="0.25">
      <c r="C1" s="3" t="s">
        <v>0</v>
      </c>
      <c r="D1" s="3" t="s">
        <v>1</v>
      </c>
      <c r="E1" s="3" t="s">
        <v>4</v>
      </c>
      <c r="F1" s="3" t="s">
        <v>4</v>
      </c>
      <c r="G1" s="4" t="s">
        <v>5</v>
      </c>
      <c r="H1" s="4" t="s">
        <v>5</v>
      </c>
      <c r="K1" s="3" t="s">
        <v>6</v>
      </c>
    </row>
    <row r="2" spans="1:11" x14ac:dyDescent="0.25">
      <c r="A2" s="1">
        <v>45046</v>
      </c>
      <c r="B2" s="1" t="s">
        <v>2</v>
      </c>
      <c r="C2" s="2">
        <f>1139294.07/1000</f>
        <v>1139.2940700000001</v>
      </c>
      <c r="D2" s="2">
        <v>992.20305394399998</v>
      </c>
      <c r="E2" s="2">
        <f>G2/C2</f>
        <v>438.86825462016134</v>
      </c>
      <c r="F2" s="2">
        <f>H2/D2</f>
        <v>503.92910807168312</v>
      </c>
      <c r="G2" s="2">
        <v>500000</v>
      </c>
      <c r="H2" s="2">
        <v>500000</v>
      </c>
      <c r="K2">
        <f>D2/D3</f>
        <v>80.509299999999996</v>
      </c>
    </row>
    <row r="3" spans="1:11" x14ac:dyDescent="0.25">
      <c r="B3" t="s">
        <v>3</v>
      </c>
      <c r="C3" s="2"/>
      <c r="D3" s="2">
        <v>12.32408</v>
      </c>
      <c r="G3" s="2">
        <f>E$2*C3</f>
        <v>0</v>
      </c>
      <c r="H3" s="2">
        <f>F$2*D3</f>
        <v>6210.4626422040683</v>
      </c>
    </row>
    <row r="4" spans="1:11" x14ac:dyDescent="0.25">
      <c r="C4" s="2"/>
      <c r="D4" s="2"/>
      <c r="G4" s="2"/>
      <c r="H4" s="2"/>
    </row>
    <row r="5" spans="1:11" x14ac:dyDescent="0.25">
      <c r="A5" s="1">
        <v>46142</v>
      </c>
      <c r="B5" s="1" t="s">
        <v>2</v>
      </c>
      <c r="C5" s="2">
        <v>2226.35</v>
      </c>
      <c r="D5" s="2">
        <v>1385.9</v>
      </c>
      <c r="G5" s="2">
        <f t="shared" ref="G5:G6" si="0">E$2*C5</f>
        <v>977074.33867359615</v>
      </c>
      <c r="H5" s="2">
        <f t="shared" ref="H5:H6" si="1">F$2*D5</f>
        <v>698395.35087654565</v>
      </c>
      <c r="K5">
        <f>D5/D6</f>
        <v>74.977500000000006</v>
      </c>
    </row>
    <row r="6" spans="1:11" x14ac:dyDescent="0.25">
      <c r="B6" t="s">
        <v>3</v>
      </c>
      <c r="D6">
        <v>18.484211930245738</v>
      </c>
      <c r="G6" s="2">
        <f t="shared" si="0"/>
        <v>0</v>
      </c>
      <c r="H6" s="2">
        <f t="shared" si="1"/>
        <v>9314.7324314166999</v>
      </c>
      <c r="I6" s="2">
        <f>H5-H2</f>
        <v>198395.35087654565</v>
      </c>
      <c r="J6" s="2">
        <f>H6-H3</f>
        <v>3104.2697892126316</v>
      </c>
    </row>
    <row r="8" spans="1:11" x14ac:dyDescent="0.25">
      <c r="I8" s="2">
        <f>H3*(K5-K2)</f>
        <v>-34355.037244144405</v>
      </c>
      <c r="J8" s="2">
        <f>J6*K5</f>
        <v>232750.3881206901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Шабаев Илья Дмитриевич</dc:creator>
  <cp:lastModifiedBy>Шабаев Илья Дмитриевич</cp:lastModifiedBy>
  <dcterms:created xsi:type="dcterms:W3CDTF">2026-05-08T08:36:18Z</dcterms:created>
  <dcterms:modified xsi:type="dcterms:W3CDTF">2026-05-08T08:42:53Z</dcterms:modified>
</cp:coreProperties>
</file>