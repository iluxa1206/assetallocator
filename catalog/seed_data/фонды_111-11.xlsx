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habaev\Desktop\"/>
    </mc:Choice>
  </mc:AlternateContent>
  <bookViews>
    <workbookView xWindow="0" yWindow="0" windowWidth="28800" windowHeight="12300"/>
  </bookViews>
  <sheets>
    <sheet name="Лист1" sheetId="1" r:id="rId1"/>
    <sheet name="Лист2" sheetId="2" r:id="rId2"/>
  </sheets>
  <definedNames>
    <definedName name="_xlnm._FilterDatabase" localSheetId="1" hidden="1">Лист2!$A$2:$N$2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M13" i="1"/>
  <c r="M12" i="1"/>
  <c r="M11" i="1"/>
  <c r="M10" i="1"/>
  <c r="M9" i="1"/>
  <c r="M8" i="1"/>
  <c r="M7" i="1"/>
  <c r="M6" i="1"/>
  <c r="M5" i="1"/>
  <c r="M4" i="1"/>
  <c r="M3" i="1"/>
  <c r="AL52" i="1"/>
  <c r="AH42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6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3" i="1"/>
  <c r="M19" i="1" l="1"/>
  <c r="K19" i="1"/>
  <c r="G13" i="1"/>
  <c r="G12" i="1"/>
  <c r="G11" i="1"/>
  <c r="G10" i="1"/>
  <c r="G9" i="1"/>
  <c r="G8" i="1"/>
  <c r="G7" i="1"/>
  <c r="G6" i="1"/>
  <c r="G5" i="1"/>
  <c r="G4" i="1"/>
  <c r="G3" i="1"/>
  <c r="G19" i="1"/>
  <c r="F19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K18" i="1"/>
  <c r="M18" i="1" s="1"/>
  <c r="K17" i="1"/>
  <c r="M17" i="1" s="1"/>
  <c r="K16" i="1"/>
  <c r="M16" i="1" s="1"/>
  <c r="K15" i="1"/>
  <c r="M15" i="1" s="1"/>
  <c r="K14" i="1"/>
  <c r="K13" i="1"/>
  <c r="K12" i="1"/>
  <c r="K11" i="1"/>
  <c r="K10" i="1"/>
  <c r="K9" i="1"/>
  <c r="K8" i="1"/>
  <c r="K7" i="1"/>
  <c r="K6" i="1"/>
  <c r="K5" i="1"/>
  <c r="K4" i="1"/>
  <c r="K3" i="1"/>
  <c r="F8" i="1"/>
  <c r="F7" i="1"/>
  <c r="F6" i="1"/>
  <c r="F5" i="1"/>
  <c r="F4" i="1"/>
  <c r="F3" i="1"/>
  <c r="F17" i="1"/>
  <c r="G17" i="1" s="1"/>
  <c r="F16" i="1"/>
  <c r="G16" i="1" s="1"/>
  <c r="F15" i="1"/>
  <c r="G15" i="1" s="1"/>
  <c r="F14" i="1"/>
  <c r="G14" i="1" s="1"/>
  <c r="F13" i="1"/>
  <c r="F12" i="1"/>
  <c r="F11" i="1"/>
  <c r="F10" i="1"/>
  <c r="F9" i="1"/>
  <c r="F18" i="1"/>
  <c r="G18" i="1" s="1"/>
  <c r="M57" i="1" l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</calcChain>
</file>

<file path=xl/sharedStrings.xml><?xml version="1.0" encoding="utf-8"?>
<sst xmlns="http://schemas.openxmlformats.org/spreadsheetml/2006/main" count="65" uniqueCount="33">
  <si>
    <t>Кол-во дней</t>
  </si>
  <si>
    <t>Р5</t>
  </si>
  <si>
    <t>Д5</t>
  </si>
  <si>
    <t>Ю5</t>
  </si>
  <si>
    <t>Д1</t>
  </si>
  <si>
    <t>ВО с выплатой дохода</t>
  </si>
  <si>
    <t>А+</t>
  </si>
  <si>
    <t>120/80</t>
  </si>
  <si>
    <t>Р1</t>
  </si>
  <si>
    <t>М3</t>
  </si>
  <si>
    <t>Дата</t>
  </si>
  <si>
    <t>Цена пая</t>
  </si>
  <si>
    <t>Цена пая Руб</t>
  </si>
  <si>
    <t>Цена пая USD</t>
  </si>
  <si>
    <t>Цена пая, RUB</t>
  </si>
  <si>
    <t>Цена пая, GLD</t>
  </si>
  <si>
    <t>формирование</t>
  </si>
  <si>
    <t>RGBITR</t>
  </si>
  <si>
    <t>MCFTR</t>
  </si>
  <si>
    <t>CPI rub</t>
  </si>
  <si>
    <t>Cpi USD</t>
  </si>
  <si>
    <t>CPI cny</t>
  </si>
  <si>
    <t>GLDRUB</t>
  </si>
  <si>
    <t>№ индекса</t>
  </si>
  <si>
    <t>USDRUB</t>
  </si>
  <si>
    <t>CNYRUB</t>
  </si>
  <si>
    <t>Cbonds индекс ЗО (в USD)</t>
  </si>
  <si>
    <t>Cbonds индекс ЗО (в RUB)</t>
  </si>
  <si>
    <t>RUCNYTR (в CNY)</t>
  </si>
  <si>
    <t>RUCNYTR (в RUB)</t>
  </si>
  <si>
    <t>Цена пая CNY</t>
  </si>
  <si>
    <t>Цена пая RUB</t>
  </si>
  <si>
    <t>RUSFAR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</si>
</sst>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₽_-;\-* #,##0.00\ _₽_-;_-* &quot;-&quot;??\ _₽_-;_-@_-"/>
    <numFmt numFmtId="165" formatCode="#,##0.0000"/>
    <numFmt numFmtId="173" formatCode="_-* #,##0.00_-;\-* #,##0.00_-;_-* &quot;-&quot;??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73" fontId="1" fillId="0" borderId="0" applyFont="0" applyFill="0" applyBorder="0" applyAlignment="0" applyProtection="0"/>
  </cellStyleXfs>
  <cellXfs count="70">
    <xf numFmtId="0" fontId="0" fillId="0" borderId="0" xfId="0"/>
    <xf numFmtId="0" fontId="3" fillId="2" borderId="0" xfId="0" applyFont="1" applyFill="1"/>
    <xf numFmtId="0" fontId="2" fillId="2" borderId="0" xfId="0" applyFont="1" applyFill="1"/>
    <xf numFmtId="4" fontId="3" fillId="2" borderId="0" xfId="0" applyNumberFormat="1" applyFont="1" applyFill="1"/>
    <xf numFmtId="43" fontId="3" fillId="2" borderId="0" xfId="1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3" fillId="2" borderId="5" xfId="0" applyFont="1" applyFill="1" applyBorder="1"/>
    <xf numFmtId="0" fontId="6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3" fillId="2" borderId="7" xfId="0" applyFont="1" applyFill="1" applyBorder="1"/>
    <xf numFmtId="14" fontId="3" fillId="2" borderId="5" xfId="0" applyNumberFormat="1" applyFont="1" applyFill="1" applyBorder="1"/>
    <xf numFmtId="43" fontId="3" fillId="2" borderId="6" xfId="1" applyFont="1" applyFill="1" applyBorder="1"/>
    <xf numFmtId="0" fontId="3" fillId="2" borderId="6" xfId="0" applyFont="1" applyFill="1" applyBorder="1"/>
    <xf numFmtId="3" fontId="3" fillId="2" borderId="5" xfId="0" applyNumberFormat="1" applyFont="1" applyFill="1" applyBorder="1"/>
    <xf numFmtId="3" fontId="3" fillId="2" borderId="7" xfId="0" applyNumberFormat="1" applyFont="1" applyFill="1" applyBorder="1"/>
    <xf numFmtId="10" fontId="3" fillId="2" borderId="0" xfId="2" applyNumberFormat="1" applyFont="1" applyFill="1" applyBorder="1"/>
    <xf numFmtId="164" fontId="3" fillId="2" borderId="0" xfId="0" applyNumberFormat="1" applyFont="1" applyFill="1"/>
    <xf numFmtId="164" fontId="2" fillId="2" borderId="0" xfId="0" applyNumberFormat="1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3" fontId="0" fillId="0" borderId="0" xfId="0" applyNumberFormat="1"/>
    <xf numFmtId="4" fontId="3" fillId="2" borderId="6" xfId="0" applyNumberFormat="1" applyFont="1" applyFill="1" applyBorder="1"/>
    <xf numFmtId="3" fontId="3" fillId="2" borderId="8" xfId="0" applyNumberFormat="1" applyFont="1" applyFill="1" applyBorder="1"/>
    <xf numFmtId="14" fontId="3" fillId="2" borderId="8" xfId="0" applyNumberFormat="1" applyFont="1" applyFill="1" applyBorder="1"/>
    <xf numFmtId="4" fontId="3" fillId="2" borderId="9" xfId="0" applyNumberFormat="1" applyFont="1" applyFill="1" applyBorder="1"/>
    <xf numFmtId="2" fontId="3" fillId="2" borderId="6" xfId="0" applyNumberFormat="1" applyFont="1" applyFill="1" applyBorder="1"/>
    <xf numFmtId="14" fontId="3" fillId="2" borderId="0" xfId="0" applyNumberFormat="1" applyFont="1" applyFill="1"/>
    <xf numFmtId="3" fontId="3" fillId="2" borderId="10" xfId="0" applyNumberFormat="1" applyFont="1" applyFill="1" applyBorder="1"/>
    <xf numFmtId="14" fontId="3" fillId="2" borderId="11" xfId="0" applyNumberFormat="1" applyFont="1" applyFill="1" applyBorder="1"/>
    <xf numFmtId="43" fontId="3" fillId="2" borderId="11" xfId="1" applyFont="1" applyFill="1" applyBorder="1"/>
    <xf numFmtId="2" fontId="3" fillId="2" borderId="9" xfId="0" applyNumberFormat="1" applyFont="1" applyFill="1" applyBorder="1"/>
    <xf numFmtId="4" fontId="3" fillId="2" borderId="6" xfId="1" applyNumberFormat="1" applyFont="1" applyFill="1" applyBorder="1"/>
    <xf numFmtId="4" fontId="3" fillId="2" borderId="9" xfId="1" applyNumberFormat="1" applyFont="1" applyFill="1" applyBorder="1"/>
    <xf numFmtId="43" fontId="3" fillId="2" borderId="9" xfId="1" applyFont="1" applyFill="1" applyBorder="1"/>
    <xf numFmtId="2" fontId="3" fillId="2" borderId="0" xfId="0" applyNumberFormat="1" applyFont="1" applyFill="1"/>
    <xf numFmtId="2" fontId="3" fillId="2" borderId="11" xfId="0" applyNumberFormat="1" applyFont="1" applyFill="1" applyBorder="1"/>
    <xf numFmtId="4" fontId="0" fillId="0" borderId="0" xfId="0" applyNumberFormat="1" applyAlignment="1">
      <alignment horizontal="right"/>
    </xf>
    <xf numFmtId="4" fontId="7" fillId="0" borderId="0" xfId="0" applyNumberFormat="1" applyFont="1" applyAlignment="1">
      <alignment horizontal="right" wrapText="1"/>
    </xf>
    <xf numFmtId="14" fontId="3" fillId="2" borderId="0" xfId="0" applyNumberFormat="1" applyFont="1" applyFill="1" applyBorder="1"/>
    <xf numFmtId="14" fontId="0" fillId="0" borderId="5" xfId="0" applyNumberFormat="1" applyBorder="1"/>
    <xf numFmtId="14" fontId="0" fillId="0" borderId="0" xfId="0" applyNumberFormat="1" applyBorder="1"/>
    <xf numFmtId="4" fontId="3" fillId="2" borderId="11" xfId="0" applyNumberFormat="1" applyFont="1" applyFill="1" applyBorder="1"/>
    <xf numFmtId="43" fontId="7" fillId="0" borderId="0" xfId="1" applyFont="1" applyAlignment="1">
      <alignment wrapText="1"/>
    </xf>
    <xf numFmtId="43" fontId="0" fillId="0" borderId="0" xfId="1" applyFont="1"/>
    <xf numFmtId="4" fontId="0" fillId="0" borderId="0" xfId="0" applyNumberFormat="1" applyFont="1" applyAlignment="1">
      <alignment horizontal="right"/>
    </xf>
    <xf numFmtId="4" fontId="3" fillId="2" borderId="6" xfId="0" applyNumberFormat="1" applyFont="1" applyFill="1" applyBorder="1" applyAlignment="1">
      <alignment horizontal="right"/>
    </xf>
    <xf numFmtId="4" fontId="3" fillId="2" borderId="0" xfId="1" applyNumberFormat="1" applyFont="1" applyFill="1" applyBorder="1"/>
    <xf numFmtId="4" fontId="6" fillId="2" borderId="6" xfId="0" applyNumberFormat="1" applyFont="1" applyFill="1" applyBorder="1" applyAlignment="1">
      <alignment horizontal="center"/>
    </xf>
    <xf numFmtId="4" fontId="3" fillId="2" borderId="6" xfId="1" applyNumberFormat="1" applyFont="1" applyFill="1" applyBorder="1" applyAlignment="1">
      <alignment horizontal="right" vertical="center"/>
    </xf>
    <xf numFmtId="4" fontId="3" fillId="2" borderId="6" xfId="1" applyNumberFormat="1" applyFont="1" applyFill="1" applyBorder="1" applyAlignment="1">
      <alignment horizontal="right"/>
    </xf>
    <xf numFmtId="43" fontId="3" fillId="2" borderId="6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center"/>
    </xf>
    <xf numFmtId="4" fontId="0" fillId="0" borderId="0" xfId="0" applyNumberFormat="1"/>
    <xf numFmtId="4" fontId="3" fillId="2" borderId="9" xfId="0" applyNumberFormat="1" applyFont="1" applyFill="1" applyBorder="1" applyAlignment="1">
      <alignment horizontal="right"/>
    </xf>
    <xf numFmtId="0" fontId="0" fillId="0" borderId="0" xfId="0" applyNumberFormat="1" applyAlignment="1">
      <alignment horizontal="right"/>
    </xf>
    <xf numFmtId="165" fontId="3" fillId="2" borderId="6" xfId="0" applyNumberFormat="1" applyFont="1" applyFill="1" applyBorder="1"/>
    <xf numFmtId="165" fontId="3" fillId="2" borderId="9" xfId="0" applyNumberFormat="1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14" fontId="3" fillId="2" borderId="5" xfId="0" applyNumberFormat="1" applyFont="1" applyFill="1" applyBorder="1"/>
    <xf numFmtId="4" fontId="0" fillId="0" borderId="6" xfId="0" applyNumberFormat="1" applyBorder="1"/>
  </cellXfs>
  <cellStyles count="5">
    <cellStyle name="Обычный" xfId="0" builtinId="0"/>
    <cellStyle name="Обычный 2" xfId="3"/>
    <cellStyle name="Процентный" xfId="2" builtinId="5"/>
    <cellStyle name="Финансовый" xfId="1" builtinId="3"/>
    <cellStyle name="Финансов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5DF255-64E6-D344-952E-2722DEE554C7}">
  <we:reference id="wa200002161" version="1.16.0.0" store="en-US" storeType="OMEX"/>
  <we:alternateReferences>
    <we:reference id="wa200002161" version="1.16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 xmlns="">
        <we:customFunctionIds>_xldudf_CBONDS_CBONDSETFNAV</we:customFunctionIds>
        <we:customFunctionIds>_xldudf_CBONDS_CBONDSETFNAVUSD</we:customFunctionIds>
        <we:customFunctionIds>_xldudf_CBONDS_CBONDSETFLASTPRICE</we:customFunctionIds>
        <we:customFunctionIds>_xldudf_CBONDS_CBONDSETFNAME</we:customFunctionIds>
        <we:customFunctionIds>_xldudf_CBONDS_CBONDSETFVOLUME</we:customFunctionIds>
        <we:customFunctionIds>_xldudf_CBONDS_CBONDSMUTUALFUNDVOLUME</we:customFunctionIds>
        <we:customFunctionIds>_xldudf_CBONDS_CBONDSMUTUALFUNDOPENPRICE</we:customFunctionIds>
        <we:customFunctionIds>_xldudf_CBONDS_CBONDSMUTUALFUNDLOWPRICE</we:customFunctionIds>
        <we:customFunctionIds>_xldudf_CBONDS_CBONDSMUTUALFUNDHIGHPRICE</we:customFunctionIds>
        <we:customFunctionIds>_xldudf_CBONDS_CBONDSMUTUALFUNDLASTPRICE</we:customFunctionIds>
        <we:customFunctionIds>_xldudf_CBONDS_CBONDSETFOPENPRICE</we:customFunctionIds>
        <we:customFunctionIds>_xldudf_CBONDS_CBONDSETFLOWPRICE</we:customFunctionIds>
        <we:customFunctionIds>_xldudf_CBONDS_CBONDSETFHIGHPRICE</we:customFunctionIds>
        <we:customFunctionIds>_xldudf_CBONDS_CBONDSETFINVESTMENTCATEGORY</we:customFunctionIds>
        <we:customFunctionIds>_xldudf_CBONDS_CBONDSETFINVESTORLOCATIONS</we:customFunctionIds>
        <we:customFunctionIds>_xldudf_CBONDS_CBONDSETFPROVIDER</we:customFunctionIds>
        <we:customFunctionIds>_xldudf_CBONDS_CBONDSMUTUALFUNDNAME</we:customFunctionIds>
        <we:customFunctionIds>_xldudf_CBONDS_CBONDSMUTUALFUNDINVESTMENTCATEGORY</we:customFunctionIds>
        <we:customFunctionIds>_xldudf_CBONDS_CBONDSMUTUALFUNDINVESTORLOCATIONS</we:customFunctionIds>
        <we:customFunctionIds>_xldudf_CBONDS_CBONDSMUTUALFUNDPROVIDER</we:customFunctionIds>
        <we:customFunctionIds>_xldudf_CBONDS_CBONDSTRADINGFLOORNAME</we:customFunctionIds>
        <we:customFunctionIds>_xldudf_CBONDS_CBONDSMUTUALFUNDSHARE</we:customFunctionIds>
        <we:customFunctionIds>_xldudf_CBONDS_CBONDSMUTUALFUNDNAV</we:customFunctionIds>
        <we:customFunctionIds>_xldudf_CBONDS_CBONDSMUTUALFUNDNAVUSD</we:customFunctionIds>
        <we:customFunctionIds>_xldudf_CBONDS_CBONDSETFSHARE</we:customFunctionIds>
        <we:customFunctionIds>_xldudf_CBONDS_CBONDSETFMAINTRADINGFLOORNAME</we:customFunctionIds>
        <we:customFunctionIds>_xldudf_CBONDS_CBONDSETFEXDIVIDENDDATE</we:customFunctionIds>
        <we:customFunctionIds>_xldudf_CBONDS_CBONDSCBONDSETFRECORDDATE</we:customFunctionIds>
        <we:customFunctionIds>_xldudf_CBONDS_CBONDSCBONDSETFPAYABLEDATE</we:customFunctionIds>
        <we:customFunctionIds>_xldudf_CBONDS_CBONDSCBONDSETFDISTRIBUTIONAMOUNT</we:customFunctionIds>
        <we:customFunctionIds>_xldudf_CBONDS_CBONDSCBONDSETFDISTRIBUTIONAMOUNTCURRENCY</we:customFunctionIds>
        <we:customFunctionIds>_xldudf_CBONDS_CBONDSVARIABLERATETYPE</we:customFunctionIds>
        <we:customFunctionIds>_xldudf_CBONDS_CBONDSCOUPONDESCRIPTION</we:customFunctionIds>
        <we:customFunctionIds>_xldudf_CBONDS_CBONDSMARGIN</we:customFunctionIds>
        <we:customFunctionIds>_xldudf_CBONDS_CBONDSREFERENCERATE</we:customFunctionIds>
        <we:customFunctionIds>_xldudf_CBONDS_CBONDSSTATUSNAME</we:customFunctionIds>
        <we:customFunctionIds>_xldudf_CBONDS_CBONDSCONVERTABLE</we:customFunctionIds>
        <we:customFunctionIds>_xldudf_CBONDS_CBONDSPAYMENTSNUMBER</we:customFunctionIds>
        <we:customFunctionIds>_xldudf_CBONDS_CBONDSCURRENCY</we:customFunctionIds>
        <we:customFunctionIds>_xldudf_CBONDS_CBONDSMATURITYDATE</we:customFunctionIds>
        <we:customFunctionIds>_xldudf_CBONDS_CBONDSCALLDATE</we:customFunctionIds>
        <we:customFunctionIds>_xldudf_CBONDS_CBONDSNEXTCALLDATE</we:customFunctionIds>
        <we:customFunctionIds>_xldudf_CBONDS_CBONDSCOUPONNUMBER</we:customFunctionIds>
        <we:customFunctionIds>_xldudf_CBONDS_CBONDSBONDLASTPRICEDATE</we:customFunctionIds>
        <we:customFunctionIds>_xldudf_CBONDS_CBONDSPUTDATE</we:customFunctionIds>
        <we:customFunctionIds>_xldudf_CBONDS_CBONDSNEXTPUTDATE</we:customFunctionIds>
        <we:customFunctionIds>_xldudf_CBONDS_CBONDSCURRENTCOUPONRATE</we:customFunctionIds>
        <we:customFunctionIds>_xldudf_CBONDS_CBONDSNOMINAL</we:customFunctionIds>
        <we:customFunctionIds>_xldudf_CBONDS_CBONDSMINIMUMSETTLEMENTAMOUNT</we:customFunctionIds>
        <we:customFunctionIds>_xldudf_CBONDS_CBONDSLIQUIDITY</we:customFunctionIds>
        <we:customFunctionIds>_xldudf_CBONDS_CBONDSINTEGRALMULTIPLE</we:customFunctionIds>
        <we:customFunctionIds>_xldudf_CBONDS_CBONDSOUTSTANDINGFACEVALUEAMOUNT</we:customFunctionIds>
        <we:customFunctionIds>_xldudf_CBONDS_CBONDSAMOUNT</we:customFunctionIds>
        <we:customFunctionIds>_xldudf_CBONDS_CBONDSBONDNAME</we:customFunctionIds>
        <we:customFunctionIds>_xldudf_CBONDS_CBONDSPLACEMENTDATE</we:customFunctionIds>
        <we:customFunctionIds>_xldudf_CBONDS_CBONDSISSUERATINGSACRA</we:customFunctionIds>
        <we:customFunctionIds>_xldudf_CBONDS_CBONDSISSUERATINGSEXPERTRA</we:customFunctionIds>
        <we:customFunctionIds>_xldudf_CBONDS_CBONDSFLOATINGRATE</we:customFunctionIds>
        <we:customFunctionIds>_xldudf_CBONDS_CBONDSREGISTRATIONDATE</we:customFunctionIds>
        <we:customFunctionIds>_xldudf_CBONDS_CBONDSMORTGAGEBONDS</we:customFunctionIds>
        <we:customFunctionIds>_xldudf_CBONDS_CBONDSINTERNATIONALBONDS</we:customFunctionIds>
        <we:customFunctionIds>_xldudf_CBONDS_CBONDSCFI</we:customFunctionIds>
        <we:customFunctionIds>_xldudf_CBONDS_CBONDSPERPETUAL</we:customFunctionIds>
        <we:customFunctionIds>_xldudf_CBONDS_CBONDSPRIVATEISSUE</we:customFunctionIds>
        <we:customFunctionIds>_xldudf_CBONDS_CBONDSAMORTIZEDBONDS</we:customFunctionIds>
        <we:customFunctionIds>_xldudf_CBONDS_CBONDSSTRUCTUREDNOTE</we:customFunctionIds>
        <we:customFunctionIds>_xldudf_CBONDS_CBONDSFOREIGNBONDS</we:customFunctionIds>
        <we:customFunctionIds>_xldudf_CBONDS_CBONDSSUBORDINATEDDEBT</we:customFunctionIds>
        <we:customFunctionIds>_xldudf_CBONDS_CBONDSSECURITIZATION</we:customFunctionIds>
        <we:customFunctionIds>_xldudf_CBONDS_CBONDSCBRFLOMBARD</we:customFunctionIds>
        <we:customFunctionIds>_xldudf_CBONDS_CBONDSCOUPONPERIOD</we:customFunctionIds>
        <we:customFunctionIds>_xldudf_CBONDS_CBONDSDAYCOUNTFRACTION</we:customFunctionIds>
        <we:customFunctionIds>_xldudf_CBONDS_CBONDSSUKUKBONDS</we:customFunctionIds>
        <we:customFunctionIds>_xldudf_CBONDS_CBONDSINDEXEDFACEVALUE</we:customFunctionIds>
        <we:customFunctionIds>_xldudf_CBONDS_CBONDSGREENBONDS</we:customFunctionIds>
        <we:customFunctionIds>_xldudf_CBONDS_CBONDSPREVIOUSCOUPONDATE</we:customFunctionIds>
        <we:customFunctionIds>_xldudf_CBONDS_CBONDSPREVIOUSCOUPONSUM</we:customFunctionIds>
        <we:customFunctionIds>_xldudf_CBONDS_CBONDSPREVIOUSCOUPONRATE</we:customFunctionIds>
        <we:customFunctionIds>_xldudf_CBONDS_CBONDSCOUPONDATE</we:customFunctionIds>
        <we:customFunctionIds>_xldudf_CBONDS_CBONDSRECORDDATE</we:customFunctionIds>
        <we:customFunctionIds>_xldudf_CBONDS_CBONDSCOUPONSUM</we:customFunctionIds>
        <we:customFunctionIds>_xldudf_CBONDS_CBONDSCOUPONRATE</we:customFunctionIds>
        <we:customFunctionIds>_xldudf_CBONDS_CBONDSPREVIOUSAMORTIZATIONDATE</we:customFunctionIds>
        <we:customFunctionIds>_xldudf_CBONDS_CBONDSPREVIOUSAMORTIZATIONSUM</we:customFunctionIds>
        <we:customFunctionIds>_xldudf_CBONDS_CBONDSAMORTIZATIONDATE</we:customFunctionIds>
        <we:customFunctionIds>_xldudf_CBONDS_CBONDSAMORTIZATIONSUM</we:customFunctionIds>
        <we:customFunctionIds>_xldudf_CBONDS_CBONDSASKPRICE</we:customFunctionIds>
        <we:customFunctionIds>_xldudf_CBONDS_CBONDSASKYTP</we:customFunctionIds>
        <we:customFunctionIds>_xldudf_CBONDS_CBONDSASKYTM</we:customFunctionIds>
        <we:customFunctionIds>_xldudf_CBONDS_CBONDSBIDPRICE</we:customFunctionIds>
        <we:customFunctionIds>_xldudf_CBONDS_CBONDSBIDYTP</we:customFunctionIds>
        <we:customFunctionIds>_xldudf_CBONDS_CBONDSBIDYTM</we:customFunctionIds>
        <we:customFunctionIds>_xldudf_CBONDS_CBONDSINDICATIVEPRICE</we:customFunctionIds>
        <we:customFunctionIds>_xldudf_CBONDS_CBONDSINDICATIVEYTP</we:customFunctionIds>
        <we:customFunctionIds>_xldudf_CBONDS_CBONDSINDICATIVEYTM</we:customFunctionIds>
        <we:customFunctionIds>_xldudf_CBONDS_CBONDSDURATION</we:customFunctionIds>
        <we:customFunctionIds>_xldudf_CBONDS_CBONDSDURATIONTOPUTCALL</we:customFunctionIds>
        <we:customFunctionIds>_xldudf_CBONDS_CBONDSLASTPRICE</we:customFunctionIds>
        <we:customFunctionIds>_xldudf_CBONDS_CBONDSLASTYTM</we:customFunctionIds>
        <we:customFunctionIds>_xldudf_CBONDS_CBONDSLASTYTP</we:customFunctionIds>
        <we:customFunctionIds>_xldudf_CBONDS_CBONDSCLOSEPRICE</we:customFunctionIds>
        <we:customFunctionIds>_xldudf_CBONDS_CBONDSCLOSEYTM</we:customFunctionIds>
        <we:customFunctionIds>_xldudf_CBONDS_CBONDSCLOSEYTP</we:customFunctionIds>
        <we:customFunctionIds>_xldudf_CBONDS_CBONDSINDICATIVECY</we:customFunctionIds>
        <we:customFunctionIds>_xldudf_CBONDS_CBONDSTRADINGVOLUME</we:customFunctionIds>
        <we:customFunctionIds>_xldudf_CBONDS_CBONDSDEALSNUMBER</we:customFunctionIds>
        <we:customFunctionIds>_xldudf_CBONDS_CBONDSAVGPRICE</we:customFunctionIds>
        <we:customFunctionIds>_xldudf_CBONDS_CBONDSMARKETPRICE</we:customFunctionIds>
        <we:customFunctionIds>_xldudf_CBONDS_CBONDSADMITTEDPRICE</we:customFunctionIds>
        <we:customFunctionIds>_xldudf_CBONDS_CBONDSMAXPRICE</we:customFunctionIds>
        <we:customFunctionIds>_xldudf_CBONDS_CBONDSMINPRICE</we:customFunctionIds>
        <we:customFunctionIds>_xldudf_CBONDS_CBONDSMAXOPENPRICE</we:customFunctionIds>
        <we:customFunctionIds>_xldudf_CBONDS_CBONDSCLEANPRICECALCYTM</we:customFunctionIds>
        <we:customFunctionIds>_xldudf_CBONDS_CBONDSCLEANPRICECALCYTP</we:customFunctionIds>
        <we:customFunctionIds>_xldudf_CBONDS_CBONDSCALCGSPREAD</we:customFunctionIds>
        <we:customFunctionIds>_xldudf_CBONDS_CBONDSCALCZSPREAD</we:customFunctionIds>
        <we:customFunctionIds>_xldudf_CBONDS_CBONDSCALCMODIFIEDDURATIONTOPUTCALL</we:customFunctionIds>
        <we:customFunctionIds>_xldudf_CBONDS_CBONDSCALCMODIFIEDDURATIONTOMATURITY</we:customFunctionIds>
        <we:customFunctionIds>_xldudf_CBONDS_CBONDSCALCPVBPTOMATURITY</we:customFunctionIds>
        <we:customFunctionIds>_xldudf_CBONDS_CBONDSCALCPVBPTOPUTCALL</we:customFunctionIds>
        <we:customFunctionIds>_xldudf_CBONDS_CBONDSCALCCONV</we:customFunctionIds>
        <we:customFunctionIds>_xldudf_CBONDS_CBONDSCALCCONVTOPUTCALL</we:customFunctionIds>
        <we:customFunctionIds>_xldudf_CBONDS_CBONDSCALCCY</we:customFunctionIds>
        <we:customFunctionIds>_xldudf_CBONDS_CBONDSCALCYTM</we:customFunctionIds>
        <we:customFunctionIds>_xldudf_CBONDS_CBONDSCALCYTP</we:customFunctionIds>
        <we:customFunctionIds>_xldudf_CBONDS_CBONDSCALCDURATION</we:customFunctionIds>
        <we:customFunctionIds>_xldudf_CBONDS_CBONDSCALCDURATIONTOPUTCALL</we:customFunctionIds>
        <we:customFunctionIds>_xldudf_CBONDS_CBONDSCALCYTMNOM</we:customFunctionIds>
        <we:customFunctionIds>_xldudf_CBONDS_CBONDSCALCYTMSIMPLE</we:customFunctionIds>
        <we:customFunctionIds>_xldudf_CBONDS_CBONDSCALCYTPNOM</we:customFunctionIds>
        <we:customFunctionIds>_xldudf_CBONDS_CBONDSCALCYTPSIMPLE</we:customFunctionIds>
        <we:customFunctionIds>_xldudf_CBONDS_CBONDSONLINEASKYTM</we:customFunctionIds>
        <we:customFunctionIds>_xldudf_CBONDS_CBONDSONLINEASKYTP</we:customFunctionIds>
        <we:customFunctionIds>_xldudf_CBONDS_CBONDSONLINEBIDYTM</we:customFunctionIds>
        <we:customFunctionIds>_xldudf_CBONDS_CBONDSONLINEBIDYTP</we:customFunctionIds>
        <we:customFunctionIds>_xldudf_CBONDS_CBONDSONLINEINDICATIVEYIELD</we:customFunctionIds>
        <we:customFunctionIds>_xldudf_CBONDS_CBONDSONLINEASKPRICE</we:customFunctionIds>
        <we:customFunctionIds>_xldudf_CBONDS_CBONDSONLINEBIDPRICE</we:customFunctionIds>
        <we:customFunctionIds>_xldudf_CBONDS_CBONDSONLINEINDICATIVEPRICE</we:customFunctionIds>
        <we:customFunctionIds>_xldudf_CBONDS_CBONDSMODIFIEDDURATIONTOMATURITY</we:customFunctionIds>
        <we:customFunctionIds>_xldudf_CBONDS_CBONDSMODIFIEDDURATIONTOPUTCALL</we:customFunctionIds>
        <we:customFunctionIds>_xldudf_CBONDS_CBONDSOUTSTANDINGFACEVALUE</we:customFunctionIds>
        <we:customFunctionIds>_xldudf_CBONDS_CBONDSISSUERATING</we:customFunctionIds>
        <we:customFunctionIds>_xldudf_CBONDS_CBONDSISSUEFORECAST</we:customFunctionIds>
        <we:customFunctionIds>_xldudf_CBONDS_CBONDSCALCYTMSIM</we:customFunctionIds>
        <we:customFunctionIds>_xldudf_CBONDS_CBONDSCALCYTPSIM</we:customFunctionIds>
        <we:customFunctionIds>_xldudf_CBONDS_CBONDSCALCFRNYTMEST</we:customFunctionIds>
        <we:customFunctionIds>_xldudf_CBONDS_CBONDSCALCFRNDM</we:customFunctionIds>
        <we:customFunctionIds>_xldudf_CBONDS_CBONDSBONDTRADINGFLOORPRIORITY</we:customFunctionIds>
        <we:customFunctionIds>_xldudf_CBONDS_CBONDSBONDTRADINGFLOORSALL</we:customFunctionIds>
        <we:customFunctionIds>_xldudf_CBONDS_CBONDSOUTSTANDINGFACEVALUEINDEXED</we:customFunctionIds>
        <we:customFunctionIds>_xldudf_CBONDS_CBONDSACI</we:customFunctionIds>
        <we:customFunctionIds>_xldudf_CBONDS_CBONDSGSPREAD</we:customFunctionIds>
        <we:customFunctionIds>_xldudf_CBONDS_CBONDSEMITENTTYPE</we:customFunctionIds>
        <we:customFunctionIds>_xldudf_CBONDS_CBONDSEMITENTTIN</we:customFunctionIds>
        <we:customFunctionIds>_xldudf_CBONDS_CBONDSEMITENTPSRN</we:customFunctionIds>
        <we:customFunctionIds>_xldudf_CBONDS_CBONDSEMITENTLEI</we:customFunctionIds>
        <we:customFunctionIds>_xldudf_CBONDS_CBONDSEMITENTINDUSTRY</we:customFunctionIds>
        <we:customFunctionIds>_xldudf_CBONDS_CBONDSEMITENTNAME</we:customFunctionIds>
        <we:customFunctionIds>_xldudf_CBONDS_CBONDSEMITENTCOUNTRY</we:customFunctionIds>
        <we:customFunctionIds>_xldudf_CBONDS_CBONDSISSUERFORECAST</we:customFunctionIds>
        <we:customFunctionIds>_xldudf_CBONDS_CBONDSISSUERRATING</we:customFunctionIds>
        <we:customFunctionIds>_xldudf_CBONDS_CBONDSINDEXVALUE</we:customFunctionIds>
        <we:customFunctionIds>_xldudf_CBONDS_CBONDSINDEXMEASURE</we:customFunctionIds>
        <we:customFunctionIds>_xldudf_CBONDS_CBONDSPREVIOUSINDEXVALUE</we:customFunctionIds>
        <we:customFunctionIds>_xldudf_CBONDS_CBONDSINDEXDATE</we:customFunctionIds>
        <we:customFunctionIds>_xldudf_CBONDS_CBONDSINDEXNAME</we:customFunctionIds>
        <we:customFunctionIds>_xldudf_CBONDS_CBONDSPREVIOUSINDEXDATE</we:customFunctionIds>
        <we:customFunctionIds>_xldudf_CBONDS_CBONDSINDEXPARTICIPANTQUOTES</we:customFunctionIds>
        <we:customFunctionIds>_xldudf_CBONDS_CBONDSSTOCKMAINTRADINGFLOORNAME</we:customFunctionIds>
        <we:customFunctionIds>_xldudf_CBONDS_CBONDSSTOCKNAME</we:customFunctionIds>
        <we:customFunctionIds>_xldudf_CBONDS_CBONDSSTOCKTICKER</we:customFunctionIds>
        <we:customFunctionIds>_xldudf_CBONDS_CBONDSSTOCKCFI</we:customFunctionIds>
        <we:customFunctionIds>_xldudf_CBONDS_CBONDSSTOCKWKN</we:customFunctionIds>
        <we:customFunctionIds>_xldudf_CBONDS_CBONDSSTOCKCUSIP</we:customFunctionIds>
        <we:customFunctionIds>_xldudf_CBONDS_CBONDSSTOCKNOMINAL</we:customFunctionIds>
        <we:customFunctionIds>_xldudf_CBONDS_CBONDSBETACOEFFICIENT</we:customFunctionIds>
        <we:customFunctionIds>_xldudf_CBONDS_CBONDSSTOCKCURRENCY</we:customFunctionIds>
        <we:customFunctionIds>_xldudf_CBONDS_CBONDSSTOCKLASTPRICE</we:customFunctionIds>
        <we:customFunctionIds>_xldudf_CBONDS_CBONDSSTOCKLEGALCLOSE</we:customFunctionIds>
        <we:customFunctionIds>_xldudf_CBONDS_CBONDSSTOCKBIDPRICE</we:customFunctionIds>
        <we:customFunctionIds>_xldudf_CBONDS_CBONDSSTOCKASKPRICE</we:customFunctionIds>
        <we:customFunctionIds>_xldudf_CBONDS_CBONDSSTOCKAVGPRICE</we:customFunctionIds>
        <we:customFunctionIds>_xldudf_CBONDS_CBONDSSTOCKDEALSNUMBER</we:customFunctionIds>
        <we:customFunctionIds>_xldudf_CBONDS_CBONDSSTOCKTRADINGVOLUME</we:customFunctionIds>
        <we:customFunctionIds>_xldudf_CBONDS_CBONDSSTOCKCAPITALIZATION</we:customFunctionIds>
        <we:customFunctionIds>_xldudf_CBONDS_CBONDSSTOCKCAPITALIZATIONUSD</we:customFunctionIds>
        <we:customFunctionIds>_xldudf_CBONDS_CBONDSSTOCKEMITENTCOUNTRY</we:customFunctionIds>
        <we:customFunctionIds>_xldudf_CBONDS_CBONDSSTOCKEMITENTINDUSTRY</we:customFunctionIds>
        <we:customFunctionIds>_xldudf_CBONDS_CBONDSSTOCKEMITENTNAME</we:customFunctionIds>
        <we:customFunctionIds>_xldudf_CBONDS_CBONDSSTOCKFREEFLOAT</we:customFunctionIds>
        <we:customFunctionIds>_xldudf_CBONDS_CBONDSSTOCKEXDIVIDENDDATE</we:customFunctionIds>
        <we:customFunctionIds>_xldudf_CBONDS_CBONDSSTOCKDIVIDENDCLOSEDATE</we:customFunctionIds>
        <we:customFunctionIds>_xldudf_CBONDS_CBONDSSTOCKLASTDATEOFPURCHASE</we:customFunctionIds>
        <we:customFunctionIds>_xldudf_CBONDS_CBONDSSTOCKDIVIDENDAMOUNT</we:customFunctionIds>
        <we:customFunctionIds>_xldudf_CBONDS_CBONDSSTOCKDIVIDENDCURRENCY</we:customFunctionIds>
        <we:customFunctionIds>_xldudf_CBONDS_CBONDSSTOCKEMITENTTIN</we:customFunctionIds>
        <we:customFunctionIds>_xldudf_CBONDS_CBONDSSTOCKLASTTRADINGDATE</we:customFunctionIds>
        <we:customFunctionIds>_xldudf_CBONDS_CBONDSSTOCKONLINECLOSEPRICE</we:customFunctionIds>
        <we:customFunctionIds>_xldudf_CBONDS_CBONDSSTOCKONLINEBIDPRICE</we:customFunctionIds>
        <we:customFunctionIds>_xldudf_CBONDS_CBONDSSTOCKONLINEASKPRICE</we:customFunctionIds>
        <we:customFunctionIds>_xldudf_CBONDS_CBONDSRAS</we:customFunctionIds>
        <we:customFunctionIds>_xldudf_CBONDS_CBONDSIFRS</we:customFunctionIds>
        <we:customFunctionIds>_xldudf_CBONDS_CBONDSINSTRUMENTTYPE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7"/>
  <sheetViews>
    <sheetView showGridLines="0" tabSelected="1" topLeftCell="F1" zoomScale="85" zoomScaleNormal="85" workbookViewId="0">
      <selection activeCell="X26" sqref="X26"/>
    </sheetView>
  </sheetViews>
  <sheetFormatPr defaultColWidth="8.85546875" defaultRowHeight="15" x14ac:dyDescent="0.25"/>
  <cols>
    <col min="1" max="1" width="12.7109375" customWidth="1"/>
    <col min="2" max="2" width="10.140625" bestFit="1" customWidth="1"/>
    <col min="3" max="3" width="13.42578125" bestFit="1" customWidth="1"/>
    <col min="4" max="4" width="9.42578125" bestFit="1" customWidth="1"/>
    <col min="5" max="5" width="15" bestFit="1" customWidth="1"/>
    <col min="6" max="6" width="10.140625" bestFit="1" customWidth="1"/>
    <col min="7" max="7" width="13.140625" bestFit="1" customWidth="1"/>
    <col min="8" max="8" width="13.42578125" bestFit="1" customWidth="1"/>
    <col min="9" max="9" width="10.140625" bestFit="1" customWidth="1"/>
    <col min="10" max="10" width="15" bestFit="1" customWidth="1"/>
    <col min="11" max="11" width="10.140625" bestFit="1" customWidth="1"/>
    <col min="12" max="12" width="10.42578125" bestFit="1" customWidth="1"/>
    <col min="13" max="13" width="10.42578125" customWidth="1"/>
    <col min="15" max="15" width="15" bestFit="1" customWidth="1"/>
    <col min="16" max="16" width="10.140625" bestFit="1" customWidth="1"/>
    <col min="17" max="17" width="13.140625" bestFit="1" customWidth="1"/>
    <col min="18" max="18" width="13.42578125" bestFit="1" customWidth="1"/>
    <col min="20" max="20" width="15" bestFit="1" customWidth="1"/>
    <col min="21" max="21" width="10.140625" bestFit="1" customWidth="1"/>
    <col min="22" max="22" width="13.140625" style="56" bestFit="1" customWidth="1"/>
    <col min="23" max="23" width="13.42578125" style="56" bestFit="1" customWidth="1"/>
    <col min="25" max="25" width="15" bestFit="1" customWidth="1"/>
    <col min="26" max="26" width="10.140625" bestFit="1" customWidth="1"/>
    <col min="27" max="27" width="9.28515625" bestFit="1" customWidth="1"/>
    <col min="29" max="29" width="15" bestFit="1" customWidth="1"/>
    <col min="30" max="30" width="10.140625" bestFit="1" customWidth="1"/>
    <col min="31" max="31" width="9.28515625" bestFit="1" customWidth="1"/>
    <col min="33" max="33" width="15" bestFit="1" customWidth="1"/>
    <col min="34" max="34" width="10.140625" bestFit="1" customWidth="1"/>
    <col min="35" max="35" width="9.28515625" bestFit="1" customWidth="1"/>
    <col min="37" max="37" width="15" bestFit="1" customWidth="1"/>
    <col min="38" max="38" width="10.140625" bestFit="1" customWidth="1"/>
    <col min="39" max="39" width="14.140625" bestFit="1" customWidth="1"/>
    <col min="40" max="40" width="14" bestFit="1" customWidth="1"/>
  </cols>
  <sheetData>
    <row r="1" spans="1:47" s="1" customFormat="1" ht="21.75" thickBot="1" x14ac:dyDescent="0.3">
      <c r="A1" s="5" t="s">
        <v>0</v>
      </c>
      <c r="B1" s="64" t="s">
        <v>1</v>
      </c>
      <c r="C1" s="65"/>
      <c r="D1" s="6"/>
      <c r="E1" s="5" t="s">
        <v>0</v>
      </c>
      <c r="F1" s="61" t="s">
        <v>2</v>
      </c>
      <c r="G1" s="63"/>
      <c r="H1" s="62"/>
      <c r="I1" s="6"/>
      <c r="J1" s="5" t="s">
        <v>0</v>
      </c>
      <c r="K1" s="61" t="s">
        <v>3</v>
      </c>
      <c r="L1" s="63"/>
      <c r="M1" s="62"/>
      <c r="N1" s="6"/>
      <c r="O1" s="5" t="s">
        <v>0</v>
      </c>
      <c r="P1" s="61" t="s">
        <v>4</v>
      </c>
      <c r="Q1" s="63"/>
      <c r="R1" s="62"/>
      <c r="T1" s="5" t="s">
        <v>0</v>
      </c>
      <c r="U1" s="61" t="s">
        <v>5</v>
      </c>
      <c r="V1" s="63"/>
      <c r="W1" s="62"/>
      <c r="Y1" s="5" t="s">
        <v>0</v>
      </c>
      <c r="Z1" s="61" t="s">
        <v>6</v>
      </c>
      <c r="AA1" s="62"/>
      <c r="AC1" s="5" t="s">
        <v>0</v>
      </c>
      <c r="AD1" s="61" t="s">
        <v>7</v>
      </c>
      <c r="AE1" s="62"/>
      <c r="AF1" s="2"/>
      <c r="AG1" s="5" t="s">
        <v>0</v>
      </c>
      <c r="AH1" s="61" t="s">
        <v>8</v>
      </c>
      <c r="AI1" s="62"/>
      <c r="AJ1" s="2"/>
      <c r="AK1" s="5" t="s">
        <v>0</v>
      </c>
      <c r="AL1" s="61" t="s">
        <v>9</v>
      </c>
      <c r="AM1" s="63"/>
      <c r="AN1" s="62"/>
      <c r="AO1" s="2"/>
      <c r="AP1" s="2"/>
      <c r="AQ1" s="7"/>
      <c r="AR1" s="2"/>
      <c r="AS1" s="2"/>
      <c r="AT1" s="2"/>
      <c r="AU1" s="2"/>
    </row>
    <row r="2" spans="1:47" s="1" customFormat="1" x14ac:dyDescent="0.25">
      <c r="A2" s="8"/>
      <c r="B2" s="9" t="s">
        <v>10</v>
      </c>
      <c r="C2" s="11" t="s">
        <v>11</v>
      </c>
      <c r="D2" s="10"/>
      <c r="E2" s="12"/>
      <c r="F2" s="9" t="s">
        <v>10</v>
      </c>
      <c r="G2" s="10" t="s">
        <v>12</v>
      </c>
      <c r="H2" s="11" t="s">
        <v>13</v>
      </c>
      <c r="I2" s="10"/>
      <c r="J2" s="9"/>
      <c r="K2" s="9" t="s">
        <v>10</v>
      </c>
      <c r="L2" s="10" t="s">
        <v>30</v>
      </c>
      <c r="M2" s="11" t="s">
        <v>31</v>
      </c>
      <c r="N2" s="10"/>
      <c r="O2" s="12"/>
      <c r="P2" s="9" t="s">
        <v>10</v>
      </c>
      <c r="Q2" s="10" t="s">
        <v>12</v>
      </c>
      <c r="R2" s="11" t="s">
        <v>13</v>
      </c>
      <c r="T2" s="12"/>
      <c r="U2" s="9" t="s">
        <v>10</v>
      </c>
      <c r="V2" s="55" t="s">
        <v>12</v>
      </c>
      <c r="W2" s="51" t="s">
        <v>13</v>
      </c>
      <c r="Y2" s="12"/>
      <c r="Z2" s="9" t="s">
        <v>10</v>
      </c>
      <c r="AA2" s="11" t="s">
        <v>11</v>
      </c>
      <c r="AC2" s="12"/>
      <c r="AD2" s="67" t="s">
        <v>10</v>
      </c>
      <c r="AE2" s="66" t="s">
        <v>11</v>
      </c>
      <c r="AF2" s="2"/>
      <c r="AG2" s="12"/>
      <c r="AH2" s="9" t="s">
        <v>10</v>
      </c>
      <c r="AI2" s="11" t="s">
        <v>11</v>
      </c>
      <c r="AJ2" s="2"/>
      <c r="AK2" s="12"/>
      <c r="AL2" s="9" t="s">
        <v>10</v>
      </c>
      <c r="AM2" s="10" t="s">
        <v>14</v>
      </c>
      <c r="AN2" s="11" t="s">
        <v>15</v>
      </c>
      <c r="AO2" s="2"/>
      <c r="AP2" s="2"/>
      <c r="AQ2" s="7"/>
      <c r="AR2" s="2"/>
      <c r="AS2" s="2"/>
      <c r="AT2" s="2"/>
      <c r="AU2" s="2"/>
    </row>
    <row r="3" spans="1:47" s="1" customFormat="1" x14ac:dyDescent="0.25">
      <c r="A3" s="8"/>
      <c r="B3" s="14">
        <v>44561</v>
      </c>
      <c r="C3" s="25">
        <v>798.77836441454485</v>
      </c>
      <c r="D3" s="10"/>
      <c r="E3" s="12"/>
      <c r="F3" s="14">
        <f t="shared" ref="F3:F8" si="0">$B3</f>
        <v>44561</v>
      </c>
      <c r="G3" s="3">
        <f>H3*VLOOKUP(F3,Лист2!$A:$M,13,0)</f>
        <v>640.46045739839997</v>
      </c>
      <c r="H3" s="49">
        <v>8.6207840000000004</v>
      </c>
      <c r="I3" s="10"/>
      <c r="J3" s="9"/>
      <c r="K3" s="14">
        <f t="shared" ref="K3:K18" si="1">$B3</f>
        <v>44561</v>
      </c>
      <c r="L3" s="3">
        <v>85.372707704268294</v>
      </c>
      <c r="M3" s="25">
        <f>VLOOKUP(K3,Лист2!$A:$N,14,0)*L3</f>
        <v>1000.3547025247636</v>
      </c>
      <c r="N3" s="10"/>
      <c r="O3" s="12"/>
      <c r="P3" s="14">
        <f t="shared" ref="P3:P18" si="2">$B3</f>
        <v>44561</v>
      </c>
      <c r="Q3" s="50">
        <f>VLOOKUP($P3,Лист2!$A:$M,13,0)*R3</f>
        <v>833.53709728381432</v>
      </c>
      <c r="R3" s="49">
        <v>11.219651718795875</v>
      </c>
      <c r="T3" s="12"/>
      <c r="U3" s="14">
        <f t="shared" ref="U3:U18" si="3">$B3</f>
        <v>44561</v>
      </c>
      <c r="V3" s="3">
        <f>VLOOKUP(U3,Лист2!$A:$M,13,0)*W3</f>
        <v>835.22364280533236</v>
      </c>
      <c r="W3" s="49">
        <v>11.242353111956405</v>
      </c>
      <c r="Y3" s="12"/>
      <c r="Z3" s="14">
        <f t="shared" ref="Z3:Z18" si="4">$B3</f>
        <v>44561</v>
      </c>
      <c r="AA3" s="49">
        <v>692.74019999999996</v>
      </c>
      <c r="AC3" s="12"/>
      <c r="AD3" s="68">
        <f t="shared" ref="AD3:AD18" si="5">$B3</f>
        <v>44561</v>
      </c>
      <c r="AE3" s="49">
        <v>779.43439999999998</v>
      </c>
      <c r="AF3" s="2"/>
      <c r="AG3" s="12"/>
      <c r="AH3" s="14">
        <f t="shared" ref="AH3:AH18" si="6">$B3</f>
        <v>44561</v>
      </c>
      <c r="AI3" s="25">
        <v>920.36641126074812</v>
      </c>
      <c r="AJ3" s="2"/>
      <c r="AK3" s="12"/>
      <c r="AL3" s="14">
        <f t="shared" ref="AL3:AL18" si="7">$B3</f>
        <v>44561</v>
      </c>
      <c r="AM3" s="38">
        <v>139.98971653361272</v>
      </c>
      <c r="AN3" s="59">
        <v>3.212984083856156E-2</v>
      </c>
      <c r="AO3" s="2"/>
      <c r="AP3" s="2"/>
      <c r="AQ3" s="7"/>
      <c r="AR3" s="2"/>
      <c r="AS3" s="2"/>
      <c r="AT3" s="2"/>
      <c r="AU3" s="2"/>
    </row>
    <row r="4" spans="1:47" s="1" customFormat="1" x14ac:dyDescent="0.25">
      <c r="A4" s="8"/>
      <c r="B4" s="14">
        <v>44592</v>
      </c>
      <c r="C4" s="25">
        <v>789.93780597028274</v>
      </c>
      <c r="D4" s="10"/>
      <c r="E4" s="12"/>
      <c r="F4" s="14">
        <f t="shared" si="0"/>
        <v>44592</v>
      </c>
      <c r="G4" s="3">
        <f>H4*VLOOKUP(F4,Лист2!$A:$M,13,0)</f>
        <v>660.08819656979995</v>
      </c>
      <c r="H4" s="49">
        <v>8.4825269999999993</v>
      </c>
      <c r="I4" s="10"/>
      <c r="J4" s="9"/>
      <c r="K4" s="14">
        <f t="shared" si="1"/>
        <v>44592</v>
      </c>
      <c r="L4" s="3">
        <v>85.372707704268294</v>
      </c>
      <c r="M4" s="25">
        <f>VLOOKUP(K4,Лист2!$A:$N,14,0)*L4</f>
        <v>1044.7485105309834</v>
      </c>
      <c r="N4" s="10"/>
      <c r="O4" s="12"/>
      <c r="P4" s="14">
        <f t="shared" si="2"/>
        <v>44592</v>
      </c>
      <c r="Q4" s="50">
        <f>VLOOKUP($P4,Лист2!$A:$M,13,0)*R4</f>
        <v>806.11460465972596</v>
      </c>
      <c r="R4" s="49">
        <v>10.359053433547329</v>
      </c>
      <c r="T4" s="12"/>
      <c r="U4" s="14">
        <f t="shared" si="3"/>
        <v>44592</v>
      </c>
      <c r="V4" s="3">
        <f>VLOOKUP(U4,Лист2!$A:$M,13,0)*W4</f>
        <v>807.74566460984613</v>
      </c>
      <c r="W4" s="49">
        <v>10.380013526664294</v>
      </c>
      <c r="Y4" s="12"/>
      <c r="Z4" s="14">
        <f t="shared" si="4"/>
        <v>44592</v>
      </c>
      <c r="AA4" s="49">
        <v>649.16750000000002</v>
      </c>
      <c r="AC4" s="12"/>
      <c r="AD4" s="68">
        <f t="shared" si="5"/>
        <v>44592</v>
      </c>
      <c r="AE4" s="49">
        <v>730.40880000000004</v>
      </c>
      <c r="AF4" s="2"/>
      <c r="AG4" s="12"/>
      <c r="AH4" s="14">
        <f t="shared" si="6"/>
        <v>44592</v>
      </c>
      <c r="AI4" s="25">
        <v>881.212839999376</v>
      </c>
      <c r="AJ4" s="2"/>
      <c r="AK4" s="12"/>
      <c r="AL4" s="14">
        <f t="shared" si="7"/>
        <v>44592</v>
      </c>
      <c r="AM4" s="38">
        <v>147.5760553411989</v>
      </c>
      <c r="AN4" s="59">
        <v>3.2988947209388372E-2</v>
      </c>
      <c r="AO4" s="2"/>
      <c r="AP4" s="2"/>
      <c r="AQ4" s="7"/>
      <c r="AR4" s="2"/>
      <c r="AS4" s="2"/>
      <c r="AT4" s="2"/>
      <c r="AU4" s="2"/>
    </row>
    <row r="5" spans="1:47" s="1" customFormat="1" x14ac:dyDescent="0.25">
      <c r="A5" s="8"/>
      <c r="B5" s="14">
        <v>44620</v>
      </c>
      <c r="C5" s="25">
        <v>820.48549802345622</v>
      </c>
      <c r="D5" s="10"/>
      <c r="E5" s="12"/>
      <c r="F5" s="14">
        <f t="shared" si="0"/>
        <v>44620</v>
      </c>
      <c r="G5" s="3">
        <f>H5*VLOOKUP(F5,Лист2!$A:$M,13,0)</f>
        <v>720.67875034050007</v>
      </c>
      <c r="H5" s="49">
        <v>8.6258730000000003</v>
      </c>
      <c r="I5" s="10"/>
      <c r="J5" s="9"/>
      <c r="K5" s="14">
        <f t="shared" si="1"/>
        <v>44620</v>
      </c>
      <c r="L5" s="3">
        <v>85.372707704268294</v>
      </c>
      <c r="M5" s="25">
        <f>VLOOKUP(K5,Лист2!$A:$N,14,0)*L5</f>
        <v>1161.6749710027491</v>
      </c>
      <c r="N5" s="10"/>
      <c r="O5" s="12"/>
      <c r="P5" s="14">
        <f t="shared" si="2"/>
        <v>44620</v>
      </c>
      <c r="Q5" s="50">
        <f>VLOOKUP($P5,Лист2!$A:$M,13,0)*R5</f>
        <v>865.48337579272902</v>
      </c>
      <c r="R5" s="49">
        <v>10.359053433547329</v>
      </c>
      <c r="T5" s="12"/>
      <c r="U5" s="14">
        <f t="shared" si="3"/>
        <v>44620</v>
      </c>
      <c r="V5" s="3">
        <f>VLOOKUP(U5,Лист2!$A:$M,13,0)*W5</f>
        <v>867.23456013251189</v>
      </c>
      <c r="W5" s="49">
        <v>10.380013526664294</v>
      </c>
      <c r="Y5" s="12"/>
      <c r="Z5" s="14">
        <f t="shared" si="4"/>
        <v>44620</v>
      </c>
      <c r="AA5" s="49">
        <v>454.27449999999999</v>
      </c>
      <c r="AC5" s="12"/>
      <c r="AD5" s="68">
        <f t="shared" si="5"/>
        <v>44620</v>
      </c>
      <c r="AE5" s="49">
        <v>511.12549999999999</v>
      </c>
      <c r="AF5" s="2"/>
      <c r="AG5" s="12"/>
      <c r="AH5" s="14">
        <f t="shared" si="6"/>
        <v>44620</v>
      </c>
      <c r="AI5" s="25">
        <v>747.53827187465868</v>
      </c>
      <c r="AJ5" s="2"/>
      <c r="AK5" s="12"/>
      <c r="AL5" s="14">
        <f t="shared" si="7"/>
        <v>44620</v>
      </c>
      <c r="AM5" s="38">
        <v>189.96722490759535</v>
      </c>
      <c r="AN5" s="59">
        <v>3.7428277983961256E-2</v>
      </c>
      <c r="AO5" s="2"/>
      <c r="AP5" s="2"/>
      <c r="AQ5" s="7"/>
      <c r="AR5" s="2"/>
      <c r="AS5" s="2"/>
      <c r="AT5" s="2"/>
      <c r="AU5" s="2"/>
    </row>
    <row r="6" spans="1:47" s="1" customFormat="1" x14ac:dyDescent="0.25">
      <c r="A6" s="8"/>
      <c r="B6" s="14">
        <v>44651</v>
      </c>
      <c r="C6" s="25">
        <v>932.23731527829159</v>
      </c>
      <c r="D6" s="10"/>
      <c r="E6" s="12"/>
      <c r="F6" s="14">
        <f t="shared" si="0"/>
        <v>44651</v>
      </c>
      <c r="G6" s="3">
        <f>H6*VLOOKUP(F6,Лист2!$A:$M,13,0)</f>
        <v>785.63172623429989</v>
      </c>
      <c r="H6" s="49">
        <v>9.3432929999999992</v>
      </c>
      <c r="I6" s="10"/>
      <c r="J6" s="9"/>
      <c r="K6" s="14">
        <f t="shared" si="1"/>
        <v>44651</v>
      </c>
      <c r="L6" s="3">
        <v>85.372707704268294</v>
      </c>
      <c r="M6" s="25">
        <f>VLOOKUP(K6,Лист2!$A:$N,14,0)*L6</f>
        <v>1149.9703727764941</v>
      </c>
      <c r="N6" s="10"/>
      <c r="O6" s="12"/>
      <c r="P6" s="14">
        <f t="shared" si="2"/>
        <v>44651</v>
      </c>
      <c r="Q6" s="50">
        <f>VLOOKUP($P6,Лист2!$A:$M,13,0)*R6</f>
        <v>871.04204386517051</v>
      </c>
      <c r="R6" s="49">
        <v>10.359053433547329</v>
      </c>
      <c r="T6" s="12"/>
      <c r="U6" s="14">
        <f t="shared" si="3"/>
        <v>44651</v>
      </c>
      <c r="V6" s="3">
        <f>VLOOKUP(U6,Лист2!$A:$M,13,0)*W6</f>
        <v>872.80447539091983</v>
      </c>
      <c r="W6" s="49">
        <v>10.380013526664294</v>
      </c>
      <c r="Y6" s="12"/>
      <c r="Z6" s="14">
        <f t="shared" si="4"/>
        <v>44651</v>
      </c>
      <c r="AA6" s="49">
        <v>497.12479999999999</v>
      </c>
      <c r="AC6" s="12"/>
      <c r="AD6" s="68">
        <f t="shared" si="5"/>
        <v>44651</v>
      </c>
      <c r="AE6" s="49">
        <v>559.33839999999998</v>
      </c>
      <c r="AF6" s="2"/>
      <c r="AG6" s="12"/>
      <c r="AH6" s="14">
        <f t="shared" si="6"/>
        <v>44651</v>
      </c>
      <c r="AI6" s="25">
        <v>810.41182253710156</v>
      </c>
      <c r="AJ6" s="2"/>
      <c r="AK6" s="12"/>
      <c r="AL6" s="14">
        <f t="shared" si="7"/>
        <v>44651</v>
      </c>
      <c r="AM6" s="38">
        <v>186.57726011878898</v>
      </c>
      <c r="AN6" s="59">
        <v>3.7092820912640129E-2</v>
      </c>
      <c r="AO6" s="2"/>
      <c r="AP6" s="2"/>
      <c r="AQ6" s="7"/>
      <c r="AR6" s="2"/>
      <c r="AS6" s="2"/>
      <c r="AT6" s="2"/>
      <c r="AU6" s="2"/>
    </row>
    <row r="7" spans="1:47" s="1" customFormat="1" x14ac:dyDescent="0.25">
      <c r="A7" s="8"/>
      <c r="B7" s="14">
        <v>44681</v>
      </c>
      <c r="C7" s="25">
        <v>1009.720741906801</v>
      </c>
      <c r="D7" s="10"/>
      <c r="E7" s="12"/>
      <c r="F7" s="14">
        <f t="shared" si="0"/>
        <v>44681</v>
      </c>
      <c r="G7" s="3">
        <f>H7*VLOOKUP(F7,Лист2!$A:$M,13,0)</f>
        <v>789.20967250400008</v>
      </c>
      <c r="H7" s="49">
        <v>11.11192</v>
      </c>
      <c r="I7" s="10"/>
      <c r="J7" s="9"/>
      <c r="K7" s="14">
        <f t="shared" si="1"/>
        <v>44681</v>
      </c>
      <c r="L7" s="3">
        <v>85.372707704268294</v>
      </c>
      <c r="M7" s="25">
        <f>VLOOKUP(K7,Лист2!$A:$N,14,0)*L7</f>
        <v>927.14760566835366</v>
      </c>
      <c r="N7" s="10"/>
      <c r="O7" s="12"/>
      <c r="P7" s="14">
        <f t="shared" si="2"/>
        <v>44681</v>
      </c>
      <c r="Q7" s="50">
        <f>VLOOKUP($P7,Лист2!$A:$M,13,0)*R7</f>
        <v>657.91982895563365</v>
      </c>
      <c r="R7" s="49">
        <v>9.2633843203836683</v>
      </c>
      <c r="T7" s="12"/>
      <c r="U7" s="14">
        <f t="shared" si="3"/>
        <v>44681</v>
      </c>
      <c r="V7" s="3">
        <f>VLOOKUP(U7,Лист2!$A:$M,13,0)*W7</f>
        <v>659.25103754210068</v>
      </c>
      <c r="W7" s="49">
        <v>9.2821274805748022</v>
      </c>
      <c r="Y7" s="12"/>
      <c r="Z7" s="14">
        <f t="shared" si="4"/>
        <v>44681</v>
      </c>
      <c r="AA7" s="49">
        <v>449.62119999999999</v>
      </c>
      <c r="AC7" s="12"/>
      <c r="AD7" s="68">
        <f t="shared" si="5"/>
        <v>44681</v>
      </c>
      <c r="AE7" s="49">
        <v>505.88990000000001</v>
      </c>
      <c r="AF7" s="2"/>
      <c r="AG7" s="12"/>
      <c r="AH7" s="14">
        <f t="shared" si="6"/>
        <v>44681</v>
      </c>
      <c r="AI7" s="25">
        <v>878.6379738143911</v>
      </c>
      <c r="AJ7" s="2"/>
      <c r="AK7" s="12"/>
      <c r="AL7" s="14">
        <f t="shared" si="7"/>
        <v>44681</v>
      </c>
      <c r="AM7" s="38">
        <v>133.19835899621717</v>
      </c>
      <c r="AN7" s="59">
        <v>3.1340790352051097E-2</v>
      </c>
      <c r="AO7" s="2"/>
      <c r="AP7" s="2"/>
      <c r="AQ7" s="7"/>
      <c r="AR7" s="2"/>
      <c r="AS7" s="2"/>
      <c r="AT7" s="2"/>
      <c r="AU7" s="2"/>
    </row>
    <row r="8" spans="1:47" s="1" customFormat="1" x14ac:dyDescent="0.25">
      <c r="A8" s="13" t="s">
        <v>16</v>
      </c>
      <c r="B8" s="14">
        <v>44686</v>
      </c>
      <c r="C8" s="25">
        <v>999.99999999999989</v>
      </c>
      <c r="D8" s="4"/>
      <c r="E8" s="13"/>
      <c r="F8" s="14">
        <f t="shared" si="0"/>
        <v>44686</v>
      </c>
      <c r="G8" s="3">
        <f>H8*VLOOKUP(F8,Лист2!$A:$M,13,0)</f>
        <v>768.57950527999992</v>
      </c>
      <c r="H8" s="49">
        <v>11.07208</v>
      </c>
      <c r="I8" s="4"/>
      <c r="J8" s="8"/>
      <c r="K8" s="14">
        <f t="shared" si="1"/>
        <v>44686</v>
      </c>
      <c r="L8" s="3">
        <v>85.372707704268294</v>
      </c>
      <c r="M8" s="25">
        <f>VLOOKUP(K8,Лист2!$A:$N,14,0)*L8</f>
        <v>873.80673789472689</v>
      </c>
      <c r="O8" s="13"/>
      <c r="P8" s="14">
        <f t="shared" si="2"/>
        <v>44686</v>
      </c>
      <c r="Q8" s="50">
        <f>VLOOKUP($P8,Лист2!$A:$M,13,0)*R8</f>
        <v>643.02708598375273</v>
      </c>
      <c r="R8" s="49">
        <v>9.2633843203836683</v>
      </c>
      <c r="T8" s="13"/>
      <c r="U8" s="14">
        <f t="shared" si="3"/>
        <v>44686</v>
      </c>
      <c r="V8" s="3">
        <f>VLOOKUP(U8,Лист2!$A:$M,13,0)*W8</f>
        <v>644.32816119158042</v>
      </c>
      <c r="W8" s="49">
        <v>9.2821274805748022</v>
      </c>
      <c r="X8" s="16"/>
      <c r="Y8" s="13"/>
      <c r="Z8" s="14">
        <f t="shared" si="4"/>
        <v>44686</v>
      </c>
      <c r="AA8" s="49">
        <v>443.24900000000002</v>
      </c>
      <c r="AC8" s="13"/>
      <c r="AD8" s="68">
        <f t="shared" si="5"/>
        <v>44686</v>
      </c>
      <c r="AE8" s="49">
        <v>498.72019999999998</v>
      </c>
      <c r="AF8" s="2"/>
      <c r="AG8" s="13"/>
      <c r="AH8" s="14">
        <f t="shared" si="6"/>
        <v>44686</v>
      </c>
      <c r="AI8" s="25">
        <v>874.0500304302368</v>
      </c>
      <c r="AJ8" s="2"/>
      <c r="AK8" s="13"/>
      <c r="AL8" s="14">
        <f t="shared" si="7"/>
        <v>44686</v>
      </c>
      <c r="AM8" s="38">
        <v>120.95701499988662</v>
      </c>
      <c r="AN8" s="59">
        <v>2.9865929629601634E-2</v>
      </c>
      <c r="AO8" s="2"/>
      <c r="AP8" s="2"/>
      <c r="AQ8" s="7"/>
      <c r="AR8" s="2"/>
      <c r="AS8" s="2"/>
      <c r="AT8" s="2"/>
      <c r="AU8" s="2"/>
    </row>
    <row r="9" spans="1:47" s="1" customFormat="1" x14ac:dyDescent="0.25">
      <c r="A9" s="17">
        <v>26</v>
      </c>
      <c r="B9" s="14">
        <v>44712</v>
      </c>
      <c r="C9" s="25">
        <v>1043.65121</v>
      </c>
      <c r="D9" s="4"/>
      <c r="E9" s="13"/>
      <c r="F9" s="14">
        <f t="shared" ref="F9:F17" si="8">$B9</f>
        <v>44712</v>
      </c>
      <c r="G9" s="3">
        <f>H9*VLOOKUP(F9,Лист2!$A:$M,13,0)</f>
        <v>751.16879677499992</v>
      </c>
      <c r="H9" s="49">
        <v>11.90489</v>
      </c>
      <c r="J9" s="8"/>
      <c r="K9" s="14">
        <f t="shared" si="1"/>
        <v>44712</v>
      </c>
      <c r="L9" s="3">
        <v>85.372707704268294</v>
      </c>
      <c r="M9" s="25">
        <f>VLOOKUP(K9,Лист2!$A:$N,14,0)*L9</f>
        <v>808.85518187331945</v>
      </c>
      <c r="O9" s="13"/>
      <c r="P9" s="14">
        <f t="shared" si="2"/>
        <v>44712</v>
      </c>
      <c r="Q9" s="50">
        <f>VLOOKUP($P9,Лист2!$A:$M,13,0)*R9</f>
        <v>618.9062604032672</v>
      </c>
      <c r="R9" s="49">
        <v>9.8087287198901265</v>
      </c>
      <c r="T9" s="13"/>
      <c r="U9" s="14">
        <f t="shared" si="3"/>
        <v>44712</v>
      </c>
      <c r="V9" s="3">
        <f>VLOOKUP(U9,Лист2!$A:$M,13,0)*W9</f>
        <v>620.15853050033184</v>
      </c>
      <c r="W9" s="49">
        <v>9.8285753080602536</v>
      </c>
      <c r="X9" s="16"/>
      <c r="Y9" s="13"/>
      <c r="Z9" s="14">
        <f t="shared" si="4"/>
        <v>44712</v>
      </c>
      <c r="AA9" s="49">
        <v>434.21</v>
      </c>
      <c r="AC9" s="13"/>
      <c r="AD9" s="68">
        <f t="shared" si="5"/>
        <v>44712</v>
      </c>
      <c r="AE9" s="69">
        <v>488.55</v>
      </c>
      <c r="AF9" s="2"/>
      <c r="AG9" s="13"/>
      <c r="AH9" s="14">
        <f t="shared" si="6"/>
        <v>44712</v>
      </c>
      <c r="AI9" s="25">
        <v>903.96529392487639</v>
      </c>
      <c r="AJ9" s="2"/>
      <c r="AK9" s="13"/>
      <c r="AL9" s="14">
        <f t="shared" si="7"/>
        <v>44712</v>
      </c>
      <c r="AM9" s="38">
        <v>91.882130057274381</v>
      </c>
      <c r="AN9" s="59">
        <v>2.6030111862655071E-2</v>
      </c>
      <c r="AO9" s="2"/>
      <c r="AP9" s="2"/>
      <c r="AQ9" s="7"/>
      <c r="AR9" s="2"/>
      <c r="AS9" s="2"/>
      <c r="AT9" s="2"/>
      <c r="AU9" s="2"/>
    </row>
    <row r="10" spans="1:47" s="1" customFormat="1" x14ac:dyDescent="0.25">
      <c r="A10" s="17">
        <v>30</v>
      </c>
      <c r="B10" s="14">
        <v>44742</v>
      </c>
      <c r="C10" s="25">
        <v>1072.9672800000001</v>
      </c>
      <c r="D10" s="4"/>
      <c r="E10" s="18"/>
      <c r="F10" s="14">
        <f t="shared" si="8"/>
        <v>44742</v>
      </c>
      <c r="G10" s="3">
        <f>H10*VLOOKUP(F10,Лист2!$A:$M,13,0)</f>
        <v>702.76972392000005</v>
      </c>
      <c r="H10" s="49">
        <v>13.73724</v>
      </c>
      <c r="J10" s="17"/>
      <c r="K10" s="14">
        <f t="shared" si="1"/>
        <v>44742</v>
      </c>
      <c r="L10" s="3">
        <v>85.372707704268294</v>
      </c>
      <c r="M10" s="25">
        <f>VLOOKUP(K10,Лист2!$A:$N,14,0)*L10</f>
        <v>700.32085856888318</v>
      </c>
      <c r="O10" s="18"/>
      <c r="P10" s="14">
        <f t="shared" si="2"/>
        <v>44742</v>
      </c>
      <c r="Q10" s="50">
        <f>VLOOKUP($P10,Лист2!$A:$M,13,0)*R10</f>
        <v>555.05517722666377</v>
      </c>
      <c r="R10" s="49">
        <v>10.849821674550681</v>
      </c>
      <c r="T10" s="18"/>
      <c r="U10" s="14">
        <f t="shared" si="3"/>
        <v>44742</v>
      </c>
      <c r="V10" s="3">
        <f>VLOOKUP(U10,Лист2!$A:$M,13,0)*W10</f>
        <v>556.178253603705</v>
      </c>
      <c r="W10" s="49">
        <v>10.871774768437097</v>
      </c>
      <c r="X10" s="16"/>
      <c r="Y10" s="18"/>
      <c r="Z10" s="14">
        <f t="shared" si="4"/>
        <v>44742</v>
      </c>
      <c r="AA10" s="49">
        <v>432.73</v>
      </c>
      <c r="AC10" s="18"/>
      <c r="AD10" s="68">
        <f t="shared" si="5"/>
        <v>44742</v>
      </c>
      <c r="AE10" s="69">
        <v>486.8827518416</v>
      </c>
      <c r="AF10" s="2"/>
      <c r="AG10" s="18"/>
      <c r="AH10" s="14">
        <f t="shared" si="6"/>
        <v>44742</v>
      </c>
      <c r="AI10" s="25">
        <v>948.45586055148965</v>
      </c>
      <c r="AJ10" s="2"/>
      <c r="AK10" s="18"/>
      <c r="AL10" s="14">
        <f t="shared" si="7"/>
        <v>44742</v>
      </c>
      <c r="AM10" s="38">
        <v>66.337764048463185</v>
      </c>
      <c r="AN10" s="59">
        <v>2.2117748824213378E-2</v>
      </c>
      <c r="AO10" s="2"/>
      <c r="AP10" s="2"/>
      <c r="AQ10" s="7"/>
      <c r="AR10" s="2"/>
      <c r="AS10" s="2"/>
      <c r="AT10" s="2"/>
      <c r="AU10" s="2"/>
    </row>
    <row r="11" spans="1:47" s="1" customFormat="1" x14ac:dyDescent="0.25">
      <c r="A11" s="17">
        <v>31</v>
      </c>
      <c r="B11" s="14">
        <v>44773</v>
      </c>
      <c r="C11" s="25">
        <v>1085.13129</v>
      </c>
      <c r="D11" s="4"/>
      <c r="E11" s="18"/>
      <c r="F11" s="14">
        <f t="shared" si="8"/>
        <v>44773</v>
      </c>
      <c r="G11" s="3">
        <f>H11*VLOOKUP(F11,Лист2!$A:$M,13,0)</f>
        <v>853.53530126099997</v>
      </c>
      <c r="H11" s="49">
        <v>13.921609999999999</v>
      </c>
      <c r="J11" s="17"/>
      <c r="K11" s="14">
        <f t="shared" si="1"/>
        <v>44773</v>
      </c>
      <c r="L11" s="3">
        <v>85.372707704268294</v>
      </c>
      <c r="M11" s="25">
        <f>VLOOKUP(K11,Лист2!$A:$N,14,0)*L11</f>
        <v>796.51882561005277</v>
      </c>
      <c r="O11" s="18"/>
      <c r="P11" s="14">
        <f t="shared" si="2"/>
        <v>44773</v>
      </c>
      <c r="Q11" s="50">
        <f>VLOOKUP($P11,Лист2!$A:$M,13,0)*R11</f>
        <v>690.86061302083942</v>
      </c>
      <c r="R11" s="49">
        <v>11.268300215149534</v>
      </c>
      <c r="T11" s="18"/>
      <c r="U11" s="14">
        <f t="shared" si="3"/>
        <v>44773</v>
      </c>
      <c r="V11" s="3">
        <f>VLOOKUP(U11,Лист2!$A:$M,13,0)*W11</f>
        <v>692.25847266821484</v>
      </c>
      <c r="W11" s="49">
        <v>11.29110004172583</v>
      </c>
      <c r="X11" s="16"/>
      <c r="Y11" s="18"/>
      <c r="Z11" s="14">
        <f t="shared" si="4"/>
        <v>44773</v>
      </c>
      <c r="AA11" s="49">
        <v>464.05</v>
      </c>
      <c r="AC11" s="18"/>
      <c r="AD11" s="68">
        <f t="shared" si="5"/>
        <v>44773</v>
      </c>
      <c r="AE11" s="69">
        <v>522.11648091464076</v>
      </c>
      <c r="AF11" s="2"/>
      <c r="AG11" s="18"/>
      <c r="AH11" s="14">
        <f t="shared" si="6"/>
        <v>44773</v>
      </c>
      <c r="AI11" s="25">
        <v>964.77895163933147</v>
      </c>
      <c r="AJ11" s="2"/>
      <c r="AK11" s="18"/>
      <c r="AL11" s="14">
        <f t="shared" si="7"/>
        <v>44773</v>
      </c>
      <c r="AM11" s="38">
        <v>86.656798619382869</v>
      </c>
      <c r="AN11" s="59">
        <v>2.5279112782783802E-2</v>
      </c>
      <c r="AO11" s="2"/>
      <c r="AP11" s="2"/>
      <c r="AQ11" s="7"/>
      <c r="AR11" s="2"/>
      <c r="AS11" s="2"/>
      <c r="AT11" s="2"/>
      <c r="AU11" s="2"/>
    </row>
    <row r="12" spans="1:47" s="1" customFormat="1" x14ac:dyDescent="0.25">
      <c r="A12" s="17">
        <v>31</v>
      </c>
      <c r="B12" s="14">
        <v>44804</v>
      </c>
      <c r="C12" s="25">
        <v>1093.5835300000001</v>
      </c>
      <c r="D12" s="4"/>
      <c r="E12" s="18"/>
      <c r="F12" s="14">
        <f t="shared" si="8"/>
        <v>44804</v>
      </c>
      <c r="G12" s="3">
        <f>H12*VLOOKUP(F12,Лист2!$A:$M,13,0)</f>
        <v>819.1770117829999</v>
      </c>
      <c r="H12" s="49">
        <v>13.569789999999999</v>
      </c>
      <c r="J12" s="17"/>
      <c r="K12" s="14">
        <f t="shared" si="1"/>
        <v>44804</v>
      </c>
      <c r="L12" s="3">
        <v>85.372707704268294</v>
      </c>
      <c r="M12" s="25">
        <f>VLOOKUP(K12,Лист2!$A:$N,14,0)*L12</f>
        <v>740.60823933452752</v>
      </c>
      <c r="O12" s="18"/>
      <c r="P12" s="14">
        <f t="shared" si="2"/>
        <v>44804</v>
      </c>
      <c r="Q12" s="50">
        <f>VLOOKUP($P12,Лист2!$A:$M,13,0)*R12</f>
        <v>666.99391274200559</v>
      </c>
      <c r="R12" s="49">
        <v>11.048854151176965</v>
      </c>
      <c r="T12" s="18"/>
      <c r="U12" s="14">
        <f t="shared" si="3"/>
        <v>44804</v>
      </c>
      <c r="V12" s="3">
        <f>VLOOKUP(U12,Лист2!$A:$M,13,0)*W12</f>
        <v>668.34348146555783</v>
      </c>
      <c r="W12" s="49">
        <v>11.071209959391494</v>
      </c>
      <c r="X12" s="16"/>
      <c r="Y12" s="18"/>
      <c r="Z12" s="14">
        <f t="shared" si="4"/>
        <v>44804</v>
      </c>
      <c r="AA12" s="49">
        <v>490.79</v>
      </c>
      <c r="AC12" s="18"/>
      <c r="AD12" s="68">
        <f t="shared" si="5"/>
        <v>44804</v>
      </c>
      <c r="AE12" s="69">
        <v>552.20005173765173</v>
      </c>
      <c r="AF12" s="2"/>
      <c r="AG12" s="18"/>
      <c r="AH12" s="14">
        <f t="shared" si="6"/>
        <v>44804</v>
      </c>
      <c r="AI12" s="25">
        <v>962.42255894883056</v>
      </c>
      <c r="AJ12" s="2"/>
      <c r="AK12" s="18"/>
      <c r="AL12" s="14">
        <f t="shared" si="7"/>
        <v>44804</v>
      </c>
      <c r="AM12" s="38">
        <v>80.79360780614283</v>
      </c>
      <c r="AN12" s="59">
        <v>2.4408944956538621E-2</v>
      </c>
      <c r="AO12" s="2"/>
      <c r="AP12" s="2"/>
      <c r="AQ12" s="7"/>
      <c r="AR12" s="2"/>
      <c r="AS12" s="2"/>
      <c r="AT12" s="2"/>
      <c r="AU12" s="2"/>
    </row>
    <row r="13" spans="1:47" s="1" customFormat="1" x14ac:dyDescent="0.25">
      <c r="A13" s="17">
        <v>30</v>
      </c>
      <c r="B13" s="14">
        <v>44834</v>
      </c>
      <c r="C13" s="25">
        <v>1104.7195200000001</v>
      </c>
      <c r="D13" s="4"/>
      <c r="E13" s="18"/>
      <c r="F13" s="14">
        <f t="shared" si="8"/>
        <v>44834</v>
      </c>
      <c r="G13" s="3">
        <f>H13*VLOOKUP(F13,Лист2!$A:$M,13,0)</f>
        <v>744.43360776999998</v>
      </c>
      <c r="H13" s="49">
        <v>12.966290000000001</v>
      </c>
      <c r="J13" s="17"/>
      <c r="K13" s="14">
        <f t="shared" si="1"/>
        <v>44834</v>
      </c>
      <c r="L13" s="3">
        <v>85.372707704268294</v>
      </c>
      <c r="M13" s="25">
        <f>VLOOKUP(K13,Лист2!$A:$N,14,0)*L13</f>
        <v>693.22638655865853</v>
      </c>
      <c r="O13" s="18"/>
      <c r="P13" s="14">
        <f t="shared" si="2"/>
        <v>44834</v>
      </c>
      <c r="Q13" s="50">
        <f>VLOOKUP($P13,Лист2!$A:$M,13,0)*R13</f>
        <v>586.0026451561414</v>
      </c>
      <c r="R13" s="49">
        <v>10.206793673142693</v>
      </c>
      <c r="T13" s="18"/>
      <c r="U13" s="14">
        <f t="shared" si="3"/>
        <v>44834</v>
      </c>
      <c r="V13" s="3">
        <f>VLOOKUP(U13,Лист2!$A:$M,13,0)*W13</f>
        <v>587.18833939819297</v>
      </c>
      <c r="W13" s="49">
        <v>10.227445689969048</v>
      </c>
      <c r="X13" s="16"/>
      <c r="Y13" s="18"/>
      <c r="Z13" s="14">
        <f t="shared" si="4"/>
        <v>44834</v>
      </c>
      <c r="AA13" s="49">
        <v>426.43</v>
      </c>
      <c r="AC13" s="18"/>
      <c r="AD13" s="68">
        <f t="shared" si="5"/>
        <v>44834</v>
      </c>
      <c r="AE13" s="69">
        <v>479.79575893201019</v>
      </c>
      <c r="AF13" s="2"/>
      <c r="AG13" s="18"/>
      <c r="AH13" s="14">
        <f t="shared" si="6"/>
        <v>44834</v>
      </c>
      <c r="AI13" s="25">
        <v>903.55955743512129</v>
      </c>
      <c r="AJ13" s="2"/>
      <c r="AK13" s="18"/>
      <c r="AL13" s="14">
        <f t="shared" si="7"/>
        <v>44834</v>
      </c>
      <c r="AM13" s="38">
        <v>77.221465639155781</v>
      </c>
      <c r="AN13" s="59">
        <v>2.3863246489232319E-2</v>
      </c>
      <c r="AO13" s="2"/>
      <c r="AP13" s="2"/>
      <c r="AQ13" s="7"/>
      <c r="AR13" s="2"/>
      <c r="AS13" s="2"/>
      <c r="AT13" s="2"/>
      <c r="AU13" s="2"/>
    </row>
    <row r="14" spans="1:47" s="1" customFormat="1" x14ac:dyDescent="0.25">
      <c r="A14" s="17">
        <v>31</v>
      </c>
      <c r="B14" s="14">
        <v>44865</v>
      </c>
      <c r="C14" s="25">
        <v>1102.20974</v>
      </c>
      <c r="D14" s="4"/>
      <c r="E14" s="18"/>
      <c r="F14" s="14">
        <f t="shared" si="8"/>
        <v>44865</v>
      </c>
      <c r="G14" s="3">
        <f>H14*VLOOKUP(F14,Лист2!$A:$M,13,0)</f>
        <v>766.01834835199998</v>
      </c>
      <c r="H14" s="49">
        <v>12.448639999999999</v>
      </c>
      <c r="J14" s="17"/>
      <c r="K14" s="14">
        <f t="shared" si="1"/>
        <v>44865</v>
      </c>
      <c r="L14" s="3">
        <v>85.372707704268294</v>
      </c>
      <c r="M14" s="25">
        <f>VLOOKUP(K14,Лист2!$A:$N,14,0)*L14</f>
        <v>717.38686283896652</v>
      </c>
      <c r="O14" s="18"/>
      <c r="P14" s="14">
        <f t="shared" si="2"/>
        <v>44865</v>
      </c>
      <c r="Q14" s="50">
        <f>VLOOKUP($P14,Лист2!$A:$M,13,0)*R14</f>
        <v>611.46241660949011</v>
      </c>
      <c r="R14" s="49">
        <v>9.9369362552184732</v>
      </c>
      <c r="T14" s="18"/>
      <c r="U14" s="14">
        <f t="shared" si="3"/>
        <v>44865</v>
      </c>
      <c r="V14" s="3">
        <f>VLOOKUP(U14,Лист2!$A:$M,13,0)*W14</f>
        <v>612.69962513166593</v>
      </c>
      <c r="W14" s="49">
        <v>9.9570422533719558</v>
      </c>
      <c r="X14" s="16"/>
      <c r="Y14" s="18"/>
      <c r="Z14" s="14">
        <f t="shared" si="4"/>
        <v>44865</v>
      </c>
      <c r="AA14" s="49">
        <v>476.86</v>
      </c>
      <c r="AC14" s="18"/>
      <c r="AD14" s="68">
        <f t="shared" si="5"/>
        <v>44865</v>
      </c>
      <c r="AE14" s="69">
        <v>536.52595285832047</v>
      </c>
      <c r="AF14" s="2"/>
      <c r="AG14" s="18"/>
      <c r="AH14" s="14">
        <f t="shared" si="6"/>
        <v>44865</v>
      </c>
      <c r="AI14" s="25">
        <v>941.2462352335325</v>
      </c>
      <c r="AJ14" s="2"/>
      <c r="AK14" s="18"/>
      <c r="AL14" s="14">
        <f t="shared" si="7"/>
        <v>44865</v>
      </c>
      <c r="AM14" s="38">
        <v>78.900926415327049</v>
      </c>
      <c r="AN14" s="59">
        <v>2.4121347115660975E-2</v>
      </c>
      <c r="AO14" s="2"/>
      <c r="AP14" s="2"/>
      <c r="AQ14" s="7"/>
      <c r="AR14" s="2"/>
      <c r="AS14" s="2"/>
      <c r="AT14" s="2"/>
      <c r="AU14" s="2"/>
    </row>
    <row r="15" spans="1:47" s="1" customFormat="1" x14ac:dyDescent="0.25">
      <c r="A15" s="17">
        <v>30</v>
      </c>
      <c r="B15" s="14">
        <v>44895</v>
      </c>
      <c r="C15" s="25">
        <v>1111.45109</v>
      </c>
      <c r="D15" s="4"/>
      <c r="E15" s="18"/>
      <c r="F15" s="14">
        <f t="shared" si="8"/>
        <v>44895</v>
      </c>
      <c r="G15" s="3">
        <f>H15*VLOOKUP(F15,Лист2!$A:$M,13,0)</f>
        <v>787.16826302399988</v>
      </c>
      <c r="H15" s="49">
        <v>12.888719999999999</v>
      </c>
      <c r="J15" s="17"/>
      <c r="K15" s="14">
        <f t="shared" si="1"/>
        <v>44895</v>
      </c>
      <c r="L15" s="3">
        <v>85.372707704268294</v>
      </c>
      <c r="M15" s="25">
        <f>VLOOKUP(K15,Лист2!$A:$N,14,0)*L15</f>
        <v>722.93608883974389</v>
      </c>
      <c r="O15" s="18"/>
      <c r="P15" s="14">
        <f t="shared" si="2"/>
        <v>44895</v>
      </c>
      <c r="Q15" s="50">
        <f>VLOOKUP($P15,Лист2!$A:$M,13,0)*R15</f>
        <v>640.07517933768941</v>
      </c>
      <c r="R15" s="49">
        <v>10.480287573765835</v>
      </c>
      <c r="T15" s="18"/>
      <c r="U15" s="14">
        <f t="shared" si="3"/>
        <v>44895</v>
      </c>
      <c r="V15" s="3">
        <f>VLOOKUP(U15,Лист2!$A:$M,13,0)*W15</f>
        <v>641.37028177603861</v>
      </c>
      <c r="W15" s="49">
        <v>10.501492967178262</v>
      </c>
      <c r="X15" s="16"/>
      <c r="Y15" s="18"/>
      <c r="Z15" s="14">
        <f t="shared" si="4"/>
        <v>44895</v>
      </c>
      <c r="AA15" s="49">
        <v>472.17</v>
      </c>
      <c r="AC15" s="18"/>
      <c r="AD15" s="68">
        <f t="shared" si="5"/>
        <v>44895</v>
      </c>
      <c r="AE15" s="69">
        <v>531.24937951364291</v>
      </c>
      <c r="AF15" s="2"/>
      <c r="AG15" s="18"/>
      <c r="AH15" s="14">
        <f t="shared" si="6"/>
        <v>44895</v>
      </c>
      <c r="AI15" s="25">
        <v>949.90714876484458</v>
      </c>
      <c r="AJ15" s="2"/>
      <c r="AK15" s="18"/>
      <c r="AL15" s="14">
        <f t="shared" si="7"/>
        <v>44895</v>
      </c>
      <c r="AM15" s="38">
        <v>86.505190311418687</v>
      </c>
      <c r="AN15" s="59">
        <v>2.525698987194706E-2</v>
      </c>
      <c r="AO15" s="2"/>
      <c r="AP15" s="2"/>
      <c r="AQ15" s="7"/>
      <c r="AR15" s="2"/>
      <c r="AS15" s="2"/>
      <c r="AT15" s="2"/>
      <c r="AU15" s="2"/>
    </row>
    <row r="16" spans="1:47" s="1" customFormat="1" x14ac:dyDescent="0.25">
      <c r="A16" s="17">
        <v>31</v>
      </c>
      <c r="B16" s="14">
        <v>44926</v>
      </c>
      <c r="C16" s="25">
        <v>1118.3898100000001</v>
      </c>
      <c r="D16" s="4"/>
      <c r="E16" s="18"/>
      <c r="F16" s="14">
        <f t="shared" si="8"/>
        <v>44926</v>
      </c>
      <c r="G16" s="3">
        <f>H16*VLOOKUP(F16,Лист2!$A:$M,13,0)</f>
        <v>870.07487500000002</v>
      </c>
      <c r="H16" s="49">
        <v>12.37</v>
      </c>
      <c r="J16" s="17"/>
      <c r="K16" s="14">
        <f t="shared" si="1"/>
        <v>44926</v>
      </c>
      <c r="L16" s="3">
        <v>85.441287045731698</v>
      </c>
      <c r="M16" s="25">
        <f>VLOOKUP(K16,Лист2!$A:$N,14,0)*L16</f>
        <v>846.89403719729262</v>
      </c>
      <c r="O16" s="18"/>
      <c r="P16" s="14">
        <f t="shared" si="2"/>
        <v>44926</v>
      </c>
      <c r="Q16" s="50">
        <f>VLOOKUP($P16,Лист2!$A:$M,13,0)*R16</f>
        <v>736.78956775480697</v>
      </c>
      <c r="R16" s="49">
        <v>10.475060497669194</v>
      </c>
      <c r="T16" s="18"/>
      <c r="U16" s="14">
        <f t="shared" si="3"/>
        <v>44926</v>
      </c>
      <c r="V16" s="3">
        <f>VLOOKUP(U16,Лист2!$A:$M,13,0)*W16</f>
        <v>738.28035820654259</v>
      </c>
      <c r="W16" s="49">
        <v>10.496255314825556</v>
      </c>
      <c r="X16" s="16"/>
      <c r="Y16" s="18"/>
      <c r="Z16" s="14">
        <f t="shared" si="4"/>
        <v>44926</v>
      </c>
      <c r="AA16" s="49">
        <v>461.66</v>
      </c>
      <c r="AC16" s="18"/>
      <c r="AD16" s="68">
        <f t="shared" si="5"/>
        <v>44926</v>
      </c>
      <c r="AE16" s="69">
        <v>519.42890780410914</v>
      </c>
      <c r="AF16" s="2"/>
      <c r="AG16" s="18"/>
      <c r="AH16" s="14">
        <f t="shared" si="6"/>
        <v>44926</v>
      </c>
      <c r="AI16" s="25">
        <v>954.60432889624076</v>
      </c>
      <c r="AJ16" s="2"/>
      <c r="AK16" s="18"/>
      <c r="AL16" s="14">
        <f t="shared" si="7"/>
        <v>44926</v>
      </c>
      <c r="AM16" s="38">
        <v>120.5392533259492</v>
      </c>
      <c r="AN16" s="59">
        <v>2.9814309504315906E-2</v>
      </c>
      <c r="AO16" s="2"/>
      <c r="AP16" s="2"/>
      <c r="AQ16" s="7"/>
      <c r="AR16" s="2"/>
      <c r="AS16" s="2"/>
      <c r="AT16" s="2"/>
      <c r="AU16" s="2"/>
    </row>
    <row r="17" spans="1:47" s="1" customFormat="1" x14ac:dyDescent="0.25">
      <c r="A17" s="17">
        <v>31</v>
      </c>
      <c r="B17" s="14">
        <v>44957</v>
      </c>
      <c r="C17" s="25">
        <v>1122.7816499999999</v>
      </c>
      <c r="D17" s="4"/>
      <c r="E17" s="18"/>
      <c r="F17" s="14">
        <f t="shared" si="8"/>
        <v>44957</v>
      </c>
      <c r="G17" s="3">
        <f>H17*VLOOKUP(F17,Лист2!$A:$M,13,0)</f>
        <v>861.60529282393793</v>
      </c>
      <c r="H17" s="25">
        <v>12.38068494</v>
      </c>
      <c r="J17" s="17"/>
      <c r="K17" s="14">
        <f t="shared" si="1"/>
        <v>44957</v>
      </c>
      <c r="L17" s="3">
        <v>85.381280121951221</v>
      </c>
      <c r="M17" s="25">
        <f>VLOOKUP(K17,Лист2!$A:$N,14,0)*L17</f>
        <v>888.39221966890238</v>
      </c>
      <c r="O17" s="18"/>
      <c r="P17" s="14">
        <f t="shared" si="2"/>
        <v>44957</v>
      </c>
      <c r="Q17" s="50">
        <f>VLOOKUP($P17,Лист2!$A:$M,13,0)*R17</f>
        <v>738.44566750158174</v>
      </c>
      <c r="R17" s="49">
        <v>10.610964476181866</v>
      </c>
      <c r="T17" s="18"/>
      <c r="U17" s="14">
        <f t="shared" si="3"/>
        <v>44957</v>
      </c>
      <c r="V17" s="3">
        <f>VLOOKUP(U17,Лист2!$A:$M,13,0)*W17</f>
        <v>739.93980883910285</v>
      </c>
      <c r="W17" s="49">
        <v>10.632434275995944</v>
      </c>
      <c r="X17" s="16"/>
      <c r="Y17" s="18"/>
      <c r="Z17" s="14">
        <f t="shared" si="4"/>
        <v>44957</v>
      </c>
      <c r="AA17" s="49">
        <v>490.6</v>
      </c>
      <c r="AC17" s="18"/>
      <c r="AD17" s="68">
        <f t="shared" si="5"/>
        <v>44957</v>
      </c>
      <c r="AE17" s="69">
        <v>551.98892654516555</v>
      </c>
      <c r="AF17" s="2"/>
      <c r="AG17" s="18"/>
      <c r="AH17" s="14">
        <f t="shared" si="6"/>
        <v>44957</v>
      </c>
      <c r="AI17" s="25">
        <v>959.31711427724292</v>
      </c>
      <c r="AJ17" s="2"/>
      <c r="AK17" s="18"/>
      <c r="AL17" s="14">
        <f t="shared" si="7"/>
        <v>44957</v>
      </c>
      <c r="AM17" s="38">
        <v>134.6760788844006</v>
      </c>
      <c r="AN17" s="59">
        <v>3.1514160229975031E-2</v>
      </c>
      <c r="AO17" s="2"/>
      <c r="AP17" s="2"/>
      <c r="AQ17" s="7"/>
      <c r="AR17" s="2"/>
      <c r="AS17" s="2"/>
      <c r="AT17" s="2"/>
      <c r="AU17" s="2"/>
    </row>
    <row r="18" spans="1:47" s="1" customFormat="1" x14ac:dyDescent="0.25">
      <c r="A18" s="17">
        <v>28</v>
      </c>
      <c r="B18" s="14">
        <v>44985</v>
      </c>
      <c r="C18" s="25">
        <v>1127.51567</v>
      </c>
      <c r="D18" s="4"/>
      <c r="E18" s="18"/>
      <c r="F18" s="14">
        <f>$B18</f>
        <v>44985</v>
      </c>
      <c r="G18" s="3">
        <f>H18*VLOOKUP(F18,Лист2!$A:$M,13,0)</f>
        <v>927.21159955824294</v>
      </c>
      <c r="H18" s="25">
        <v>12.291970409999999</v>
      </c>
      <c r="I18" s="19"/>
      <c r="J18" s="17"/>
      <c r="K18" s="14">
        <f t="shared" si="1"/>
        <v>44985</v>
      </c>
      <c r="L18" s="3">
        <v>85.544156057926841</v>
      </c>
      <c r="M18" s="25">
        <f>VLOOKUP(K18,Лист2!$A:$N,14,0)*L18</f>
        <v>916.17791138039649</v>
      </c>
      <c r="O18" s="18"/>
      <c r="P18" s="14">
        <f t="shared" si="2"/>
        <v>44985</v>
      </c>
      <c r="Q18" s="50">
        <f>VLOOKUP($P18,Лист2!$A:$M,13,0)*R18</f>
        <v>788.58074448935326</v>
      </c>
      <c r="R18" s="49">
        <v>10.45415219328263</v>
      </c>
      <c r="T18" s="18"/>
      <c r="U18" s="14">
        <f t="shared" si="3"/>
        <v>44985</v>
      </c>
      <c r="V18" s="3">
        <f>VLOOKUP(U18,Лист2!$A:$M,13,0)*W18</f>
        <v>790.17632713025512</v>
      </c>
      <c r="W18" s="49">
        <v>10.475304705414725</v>
      </c>
      <c r="X18" s="16"/>
      <c r="Y18" s="18"/>
      <c r="Z18" s="14">
        <f t="shared" si="4"/>
        <v>44985</v>
      </c>
      <c r="AA18" s="49">
        <v>491.28</v>
      </c>
      <c r="AC18" s="18"/>
      <c r="AD18" s="68">
        <f t="shared" si="5"/>
        <v>44985</v>
      </c>
      <c r="AE18" s="69">
        <v>552.7557191117437</v>
      </c>
      <c r="AF18" s="2"/>
      <c r="AG18" s="18"/>
      <c r="AH18" s="14">
        <f t="shared" si="6"/>
        <v>44985</v>
      </c>
      <c r="AI18" s="25">
        <v>955.02567063560195</v>
      </c>
      <c r="AJ18" s="2"/>
      <c r="AK18" s="18"/>
      <c r="AL18" s="14">
        <f t="shared" si="7"/>
        <v>44985</v>
      </c>
      <c r="AM18" s="38">
        <v>141.08361719252517</v>
      </c>
      <c r="AN18" s="59">
        <v>3.2255130256933641E-2</v>
      </c>
      <c r="AO18" s="2"/>
      <c r="AP18" s="2"/>
      <c r="AQ18" s="7"/>
      <c r="AR18" s="2"/>
      <c r="AS18" s="2"/>
      <c r="AT18" s="2"/>
      <c r="AU18" s="2"/>
    </row>
    <row r="19" spans="1:47" s="1" customFormat="1" x14ac:dyDescent="0.25">
      <c r="A19" s="17"/>
      <c r="B19" s="14"/>
      <c r="C19" s="25"/>
      <c r="D19" s="4"/>
      <c r="E19" s="18"/>
      <c r="F19" s="14">
        <f>B20</f>
        <v>45016</v>
      </c>
      <c r="G19" s="3">
        <f>H19*VLOOKUP(F19,Лист2!$A:$M,13,0)</f>
        <v>945.46705709640196</v>
      </c>
      <c r="H19" s="25">
        <v>12.26504654</v>
      </c>
      <c r="I19" s="19"/>
      <c r="J19" s="17"/>
      <c r="K19" s="14">
        <f>$F19</f>
        <v>45016</v>
      </c>
      <c r="L19" s="3">
        <v>85.226976603658542</v>
      </c>
      <c r="M19" s="25">
        <f>VLOOKUP(K19,Лист2!$A:$N,14,0)*L19</f>
        <v>953.86032214814645</v>
      </c>
      <c r="O19" s="18"/>
      <c r="P19" s="14">
        <f>$B20</f>
        <v>45016</v>
      </c>
      <c r="Q19" s="50">
        <f>VLOOKUP($P19,Лист2!$A:$M,13,0)*R19</f>
        <v>781.69575485053144</v>
      </c>
      <c r="R19" s="49">
        <v>10.14052762748415</v>
      </c>
      <c r="T19" s="18"/>
      <c r="U19" s="14">
        <f t="shared" ref="U19:U25" si="9">$B20</f>
        <v>45016</v>
      </c>
      <c r="V19" s="3">
        <f>VLOOKUP(U19,Лист2!$A:$M,13,0)*W19</f>
        <v>783.27740667962075</v>
      </c>
      <c r="W19" s="49">
        <v>10.161045564252284</v>
      </c>
      <c r="X19" s="16"/>
      <c r="Y19" s="18"/>
      <c r="Z19" s="14">
        <f t="shared" ref="Z19:Z31" si="10">$B20</f>
        <v>45016</v>
      </c>
      <c r="AA19" s="49">
        <v>507.48</v>
      </c>
      <c r="AC19" s="18"/>
      <c r="AD19" s="68">
        <f t="shared" ref="AD19:AD35" si="11">$B20</f>
        <v>45016</v>
      </c>
      <c r="AE19" s="69">
        <v>570.98180860617254</v>
      </c>
      <c r="AF19" s="2"/>
      <c r="AG19" s="18"/>
      <c r="AH19" s="14">
        <f t="shared" ref="AH19:AH42" si="12">$B20</f>
        <v>45016</v>
      </c>
      <c r="AI19" s="25">
        <v>963.45250542282429</v>
      </c>
      <c r="AJ19" s="2"/>
      <c r="AK19" s="18"/>
      <c r="AL19" s="14">
        <f t="shared" ref="AL19:AL52" si="13">$B20</f>
        <v>45016</v>
      </c>
      <c r="AM19" s="38">
        <v>179.96101279718215</v>
      </c>
      <c r="AN19" s="59">
        <v>3.642920733057399E-2</v>
      </c>
      <c r="AO19" s="2"/>
      <c r="AP19" s="2"/>
      <c r="AQ19" s="7"/>
      <c r="AR19" s="2"/>
      <c r="AS19" s="2"/>
      <c r="AT19" s="2"/>
      <c r="AU19" s="2"/>
    </row>
    <row r="20" spans="1:47" s="1" customFormat="1" x14ac:dyDescent="0.25">
      <c r="A20" s="17">
        <v>31</v>
      </c>
      <c r="B20" s="14">
        <v>45016</v>
      </c>
      <c r="C20" s="25">
        <v>1141.4948300000001</v>
      </c>
      <c r="D20" s="4"/>
      <c r="E20" s="13" t="s">
        <v>16</v>
      </c>
      <c r="F20" s="14">
        <v>45035</v>
      </c>
      <c r="G20" s="4">
        <v>996.40119706399992</v>
      </c>
      <c r="H20" s="25">
        <v>12.210379999999999</v>
      </c>
      <c r="I20" s="19"/>
      <c r="J20" s="13" t="s">
        <v>16</v>
      </c>
      <c r="K20" s="14">
        <v>45035</v>
      </c>
      <c r="L20" s="50">
        <v>84.352589999999992</v>
      </c>
      <c r="M20" s="35">
        <v>1000</v>
      </c>
      <c r="N20" s="20"/>
      <c r="O20" s="18"/>
      <c r="P20" s="14">
        <f>$B21</f>
        <v>45046</v>
      </c>
      <c r="Q20" s="50">
        <f>VLOOKUP($P20,Лист2!$A:$M,13,0)*R20</f>
        <v>826.50665862150549</v>
      </c>
      <c r="R20" s="52">
        <v>10.265977453803542</v>
      </c>
      <c r="T20" s="18"/>
      <c r="U20" s="14">
        <f t="shared" si="9"/>
        <v>45046</v>
      </c>
      <c r="V20" s="3">
        <f>VLOOKUP(U20,Лист2!$A:$M,13,0)*W20</f>
        <v>828.17897903549203</v>
      </c>
      <c r="W20" s="52">
        <v>10.28674922071726</v>
      </c>
      <c r="X20" s="15"/>
      <c r="Y20" s="18"/>
      <c r="Z20" s="14">
        <f t="shared" si="10"/>
        <v>45046</v>
      </c>
      <c r="AA20" s="49">
        <v>529.99</v>
      </c>
      <c r="AC20" s="18"/>
      <c r="AD20" s="68">
        <f t="shared" si="11"/>
        <v>45046</v>
      </c>
      <c r="AE20" s="69">
        <v>596.30611218910303</v>
      </c>
      <c r="AF20" s="2"/>
      <c r="AG20" s="18"/>
      <c r="AH20" s="14">
        <f t="shared" si="12"/>
        <v>45046</v>
      </c>
      <c r="AI20" s="25">
        <v>972.87807618482861</v>
      </c>
      <c r="AJ20" s="2"/>
      <c r="AK20" s="18"/>
      <c r="AL20" s="14">
        <f t="shared" si="13"/>
        <v>45046</v>
      </c>
      <c r="AM20" s="38">
        <v>196.11701618714949</v>
      </c>
      <c r="AN20" s="59">
        <v>3.8029283728359412E-2</v>
      </c>
      <c r="AO20" s="2"/>
      <c r="AP20" s="2"/>
      <c r="AQ20" s="7"/>
      <c r="AR20" s="2"/>
      <c r="AS20" s="2"/>
      <c r="AT20" s="2"/>
      <c r="AU20" s="2"/>
    </row>
    <row r="21" spans="1:47" s="1" customFormat="1" x14ac:dyDescent="0.25">
      <c r="A21" s="17">
        <v>30</v>
      </c>
      <c r="B21" s="14">
        <v>45046</v>
      </c>
      <c r="C21" s="25">
        <v>1139.2940700000001</v>
      </c>
      <c r="D21" s="4"/>
      <c r="E21" s="18">
        <v>11</v>
      </c>
      <c r="F21" s="14">
        <v>45046</v>
      </c>
      <c r="G21" s="4">
        <v>992.20305394399998</v>
      </c>
      <c r="H21" s="25">
        <v>12.32408</v>
      </c>
      <c r="I21" s="19"/>
      <c r="J21" s="17">
        <v>11</v>
      </c>
      <c r="K21" s="14">
        <v>45046</v>
      </c>
      <c r="L21" s="4">
        <v>85.229320000000001</v>
      </c>
      <c r="M21" s="35">
        <f>L21*Лист2!N33</f>
        <v>987.46690152000008</v>
      </c>
      <c r="N21" s="20"/>
      <c r="O21" s="18"/>
      <c r="P21" s="14">
        <f>$B22</f>
        <v>45077</v>
      </c>
      <c r="Q21" s="50">
        <f>VLOOKUP($P21,Лист2!$A:$M,13,0)*R21</f>
        <v>848.78824553014567</v>
      </c>
      <c r="R21" s="52">
        <v>10.519490644490645</v>
      </c>
      <c r="T21" s="18"/>
      <c r="U21" s="14">
        <f t="shared" si="9"/>
        <v>45077</v>
      </c>
      <c r="V21" s="3">
        <f>VLOOKUP(U21,Лист2!$A:$M,13,0)*W21</f>
        <v>850.50564961315615</v>
      </c>
      <c r="W21" s="52">
        <v>10.540775359823567</v>
      </c>
      <c r="X21" s="15"/>
      <c r="Y21" s="18"/>
      <c r="Z21" s="14">
        <f t="shared" si="10"/>
        <v>45077</v>
      </c>
      <c r="AA21" s="49">
        <v>547.63</v>
      </c>
      <c r="AC21" s="18"/>
      <c r="AD21" s="68">
        <f t="shared" si="11"/>
        <v>45077</v>
      </c>
      <c r="AE21" s="69">
        <v>616.16145361149336</v>
      </c>
      <c r="AF21" s="2"/>
      <c r="AG21" s="18"/>
      <c r="AH21" s="14">
        <f t="shared" si="12"/>
        <v>45077</v>
      </c>
      <c r="AI21" s="25">
        <v>980.83675348387203</v>
      </c>
      <c r="AJ21" s="2"/>
      <c r="AK21" s="18"/>
      <c r="AL21" s="14">
        <f t="shared" si="13"/>
        <v>45077</v>
      </c>
      <c r="AM21" s="38">
        <v>192.55930700792979</v>
      </c>
      <c r="AN21" s="59">
        <v>3.7682765201619915E-2</v>
      </c>
      <c r="AO21" s="2"/>
      <c r="AP21" s="2"/>
      <c r="AQ21" s="7"/>
      <c r="AR21" s="2"/>
      <c r="AS21" s="2"/>
      <c r="AT21" s="2"/>
      <c r="AU21" s="2"/>
    </row>
    <row r="22" spans="1:47" s="1" customFormat="1" x14ac:dyDescent="0.25">
      <c r="A22" s="17">
        <v>31</v>
      </c>
      <c r="B22" s="14">
        <v>45077</v>
      </c>
      <c r="C22" s="25">
        <v>1148.0025700000001</v>
      </c>
      <c r="D22" s="4"/>
      <c r="E22" s="18">
        <v>31</v>
      </c>
      <c r="F22" s="14">
        <v>45077</v>
      </c>
      <c r="G22" s="4">
        <v>1004.4160511440001</v>
      </c>
      <c r="H22" s="25">
        <v>12.448270000000001</v>
      </c>
      <c r="I22" s="19"/>
      <c r="J22" s="17">
        <v>31</v>
      </c>
      <c r="K22" s="14">
        <v>45077</v>
      </c>
      <c r="L22" s="4">
        <v>85.770769999999999</v>
      </c>
      <c r="M22" s="35">
        <f>L22*Лист2!N34</f>
        <v>975.98559182999998</v>
      </c>
      <c r="N22" s="20"/>
      <c r="O22" s="18"/>
      <c r="P22" s="14">
        <f>$B23</f>
        <v>45107</v>
      </c>
      <c r="Q22" s="50">
        <f>VLOOKUP($P22,Лист2!$A:$M,13,0)*R22</f>
        <v>922.54336559251544</v>
      </c>
      <c r="R22" s="52">
        <v>10.599792099792099</v>
      </c>
      <c r="T22" s="18"/>
      <c r="U22" s="14">
        <f t="shared" si="9"/>
        <v>45107</v>
      </c>
      <c r="V22" s="3">
        <f>VLOOKUP(U22,Лист2!$A:$M,13,0)*W22</f>
        <v>924.41000282643847</v>
      </c>
      <c r="W22" s="52">
        <v>10.621239293868019</v>
      </c>
      <c r="Y22" s="18"/>
      <c r="Z22" s="14">
        <f t="shared" si="10"/>
        <v>45107</v>
      </c>
      <c r="AA22" s="49">
        <v>581.51</v>
      </c>
      <c r="AC22" s="18"/>
      <c r="AD22" s="68">
        <f t="shared" si="11"/>
        <v>45107</v>
      </c>
      <c r="AE22" s="69">
        <v>654.27741447429753</v>
      </c>
      <c r="AF22" s="2"/>
      <c r="AG22" s="18"/>
      <c r="AH22" s="14">
        <f t="shared" si="12"/>
        <v>45107</v>
      </c>
      <c r="AI22" s="25">
        <v>977.46601956898303</v>
      </c>
      <c r="AJ22" s="2"/>
      <c r="AK22" s="18"/>
      <c r="AL22" s="14">
        <f t="shared" si="13"/>
        <v>45107</v>
      </c>
      <c r="AM22" s="38">
        <v>217.42980372811607</v>
      </c>
      <c r="AN22" s="59">
        <v>4.004239487146681E-2</v>
      </c>
      <c r="AO22" s="2"/>
      <c r="AP22" s="2"/>
      <c r="AQ22" s="7"/>
      <c r="AR22" s="2"/>
      <c r="AS22" s="2"/>
      <c r="AT22" s="2"/>
      <c r="AU22" s="2"/>
    </row>
    <row r="23" spans="1:47" s="1" customFormat="1" x14ac:dyDescent="0.25">
      <c r="A23" s="17">
        <v>30</v>
      </c>
      <c r="B23" s="14">
        <v>45107</v>
      </c>
      <c r="C23" s="25">
        <v>1169.43</v>
      </c>
      <c r="D23" s="4"/>
      <c r="E23" s="18">
        <v>30</v>
      </c>
      <c r="F23" s="14">
        <v>45107</v>
      </c>
      <c r="G23" s="4">
        <v>1122.7398900000001</v>
      </c>
      <c r="H23" s="29">
        <v>12.9</v>
      </c>
      <c r="I23" s="19"/>
      <c r="J23" s="17">
        <v>30</v>
      </c>
      <c r="K23" s="14">
        <v>45107</v>
      </c>
      <c r="L23" s="4">
        <v>86.35</v>
      </c>
      <c r="M23" s="35">
        <f>L23*Лист2!N35</f>
        <v>1064.8681999999999</v>
      </c>
      <c r="N23" s="4"/>
      <c r="O23" s="18"/>
      <c r="P23" s="30">
        <v>45138</v>
      </c>
      <c r="Q23" s="50">
        <f>VLOOKUP($P23,Лист2!$A:$M,13,0)*R23</f>
        <v>954.61014573804573</v>
      </c>
      <c r="R23" s="49">
        <v>10.492723492723492</v>
      </c>
      <c r="T23" s="18"/>
      <c r="U23" s="14">
        <f t="shared" si="9"/>
        <v>45138</v>
      </c>
      <c r="V23" s="3">
        <f>VLOOKUP(U23,Лист2!$A:$M,13,0)*W23</f>
        <v>956.54166560841077</v>
      </c>
      <c r="W23" s="49">
        <v>10.513954048475414</v>
      </c>
      <c r="Y23" s="18"/>
      <c r="Z23" s="14">
        <f t="shared" si="10"/>
        <v>45138</v>
      </c>
      <c r="AA23" s="49">
        <v>670.34</v>
      </c>
      <c r="AC23" s="18"/>
      <c r="AD23" s="68">
        <f t="shared" si="11"/>
        <v>45138</v>
      </c>
      <c r="AE23" s="69">
        <v>754.22560565220442</v>
      </c>
      <c r="AF23" s="2"/>
      <c r="AG23" s="18"/>
      <c r="AH23" s="14">
        <f t="shared" si="12"/>
        <v>45138</v>
      </c>
      <c r="AI23" s="25">
        <v>972.37870819743773</v>
      </c>
      <c r="AJ23" s="2"/>
      <c r="AK23" s="18"/>
      <c r="AL23" s="14">
        <f t="shared" si="13"/>
        <v>45138</v>
      </c>
      <c r="AM23" s="38">
        <v>240.01164402540377</v>
      </c>
      <c r="AN23" s="59">
        <v>4.2070402107870948E-2</v>
      </c>
      <c r="AO23" s="2"/>
      <c r="AP23" s="2"/>
      <c r="AQ23" s="7"/>
      <c r="AR23" s="2"/>
      <c r="AS23" s="2"/>
      <c r="AT23" s="2"/>
      <c r="AU23" s="2"/>
    </row>
    <row r="24" spans="1:47" s="1" customFormat="1" x14ac:dyDescent="0.25">
      <c r="A24" s="17">
        <v>31</v>
      </c>
      <c r="B24" s="14">
        <v>45138</v>
      </c>
      <c r="C24" s="25">
        <v>1204.6099999999999</v>
      </c>
      <c r="D24" s="4"/>
      <c r="E24" s="18">
        <v>31</v>
      </c>
      <c r="F24" s="14">
        <v>45138</v>
      </c>
      <c r="G24" s="4">
        <v>1149.0559290000001</v>
      </c>
      <c r="H24" s="16">
        <v>12.63</v>
      </c>
      <c r="I24" s="19"/>
      <c r="J24" s="17">
        <v>31</v>
      </c>
      <c r="K24" s="14">
        <v>45138</v>
      </c>
      <c r="L24" s="4">
        <v>87.83</v>
      </c>
      <c r="M24" s="35">
        <f>L24*Лист2!N36</f>
        <v>1124.9266399999999</v>
      </c>
      <c r="N24" s="4"/>
      <c r="O24" s="13" t="s">
        <v>16</v>
      </c>
      <c r="P24" s="14">
        <v>45146</v>
      </c>
      <c r="Q24" s="3">
        <v>994.63804000000005</v>
      </c>
      <c r="R24" s="53">
        <v>10.3</v>
      </c>
      <c r="T24" s="13"/>
      <c r="U24" s="14">
        <f t="shared" si="9"/>
        <v>45169</v>
      </c>
      <c r="V24" s="3">
        <f>VLOOKUP(U24,Лист2!$A:$M,13,0)*W24</f>
        <v>993.14820133997057</v>
      </c>
      <c r="W24" s="53">
        <v>10.353026180386504</v>
      </c>
      <c r="Y24" s="13"/>
      <c r="Z24" s="14">
        <f t="shared" si="10"/>
        <v>45169</v>
      </c>
      <c r="AA24" s="49">
        <v>729.23</v>
      </c>
      <c r="AC24" s="13"/>
      <c r="AD24" s="68">
        <f t="shared" si="11"/>
        <v>45169</v>
      </c>
      <c r="AE24" s="69">
        <v>820.48678572302629</v>
      </c>
      <c r="AF24" s="2"/>
      <c r="AG24" s="13"/>
      <c r="AH24" s="14">
        <f t="shared" si="12"/>
        <v>45169</v>
      </c>
      <c r="AI24" s="25">
        <v>956.66422184422845</v>
      </c>
      <c r="AJ24" s="2"/>
      <c r="AK24" s="13"/>
      <c r="AL24" s="14">
        <f t="shared" si="13"/>
        <v>45169</v>
      </c>
      <c r="AM24" s="38">
        <v>263.79536882745435</v>
      </c>
      <c r="AN24" s="59">
        <v>4.4105636161815079E-2</v>
      </c>
      <c r="AO24" s="2"/>
      <c r="AP24" s="2"/>
      <c r="AQ24" s="7"/>
      <c r="AR24" s="2"/>
      <c r="AS24" s="2"/>
      <c r="AT24" s="2"/>
      <c r="AU24" s="2"/>
    </row>
    <row r="25" spans="1:47" s="1" customFormat="1" x14ac:dyDescent="0.25">
      <c r="A25" s="17">
        <v>31</v>
      </c>
      <c r="B25" s="14">
        <v>45169</v>
      </c>
      <c r="C25" s="25">
        <v>1250.8699999999999</v>
      </c>
      <c r="D25" s="4"/>
      <c r="E25" s="18">
        <v>31</v>
      </c>
      <c r="F25" s="14">
        <v>45169</v>
      </c>
      <c r="G25" s="4">
        <v>1260.4978619999999</v>
      </c>
      <c r="H25" s="16">
        <v>13.14</v>
      </c>
      <c r="I25" s="19"/>
      <c r="J25" s="17">
        <v>31</v>
      </c>
      <c r="K25" s="14">
        <v>45169</v>
      </c>
      <c r="L25" s="4">
        <v>91.21</v>
      </c>
      <c r="M25" s="35">
        <f>L25*Лист2!N43</f>
        <v>1150.2949149999999</v>
      </c>
      <c r="N25" s="4"/>
      <c r="O25" s="18">
        <v>23</v>
      </c>
      <c r="P25" s="14">
        <v>45169</v>
      </c>
      <c r="Q25" s="3">
        <v>1021.636395</v>
      </c>
      <c r="R25" s="54">
        <v>10.65</v>
      </c>
      <c r="T25" s="18"/>
      <c r="U25" s="14">
        <f t="shared" si="9"/>
        <v>45199</v>
      </c>
      <c r="V25" s="3">
        <f>VLOOKUP(U25,Лист2!$A:$M,13,0)*W25</f>
        <v>1024.213679446018</v>
      </c>
      <c r="W25" s="53">
        <v>10.513954048475414</v>
      </c>
      <c r="Y25" s="18"/>
      <c r="Z25" s="14">
        <f t="shared" si="10"/>
        <v>45199</v>
      </c>
      <c r="AA25" s="49">
        <v>694.42</v>
      </c>
      <c r="AC25" s="18"/>
      <c r="AD25" s="68">
        <f t="shared" si="11"/>
        <v>45199</v>
      </c>
      <c r="AE25" s="69">
        <v>781.31528117191056</v>
      </c>
      <c r="AF25" s="2"/>
      <c r="AG25" s="18"/>
      <c r="AH25" s="14">
        <f t="shared" si="12"/>
        <v>45199</v>
      </c>
      <c r="AI25" s="25">
        <v>928.62158830230499</v>
      </c>
      <c r="AJ25" s="2"/>
      <c r="AK25" s="18"/>
      <c r="AL25" s="14">
        <f t="shared" si="13"/>
        <v>45199</v>
      </c>
      <c r="AM25" s="38">
        <v>250.49487755134774</v>
      </c>
      <c r="AN25" s="59">
        <v>4.2979358771116548E-2</v>
      </c>
      <c r="AO25" s="2"/>
      <c r="AP25" s="2"/>
      <c r="AQ25" s="7"/>
      <c r="AR25" s="2"/>
      <c r="AS25" s="2"/>
      <c r="AT25" s="2"/>
      <c r="AU25" s="2"/>
    </row>
    <row r="26" spans="1:47" s="1" customFormat="1" x14ac:dyDescent="0.25">
      <c r="A26" s="17">
        <v>30</v>
      </c>
      <c r="B26" s="14">
        <v>45199</v>
      </c>
      <c r="C26" s="25">
        <v>1291.57</v>
      </c>
      <c r="D26" s="4"/>
      <c r="E26" s="18">
        <v>30</v>
      </c>
      <c r="F26" s="14">
        <v>45199</v>
      </c>
      <c r="G26" s="4">
        <v>1356.012624</v>
      </c>
      <c r="H26" s="16">
        <v>13.92</v>
      </c>
      <c r="I26" s="19"/>
      <c r="J26" s="17">
        <v>30</v>
      </c>
      <c r="K26" s="14">
        <v>45199</v>
      </c>
      <c r="L26" s="4">
        <v>93.41</v>
      </c>
      <c r="M26" s="35">
        <f>L26*Лист2!N44</f>
        <v>1167.7184099999999</v>
      </c>
      <c r="N26" s="4"/>
      <c r="O26" s="18">
        <v>30</v>
      </c>
      <c r="P26" s="14">
        <v>45199</v>
      </c>
      <c r="Q26" s="3">
        <v>1044.285584</v>
      </c>
      <c r="R26" s="15">
        <v>10.72</v>
      </c>
      <c r="T26" s="18"/>
      <c r="U26" s="30">
        <v>45230</v>
      </c>
      <c r="V26" s="3">
        <f>VLOOKUP(U26,Лист2!$A:$M,13,0)*W26</f>
        <v>995.3633519871654</v>
      </c>
      <c r="W26" s="53">
        <v>10.674881916564322</v>
      </c>
      <c r="Y26" s="18"/>
      <c r="Z26" s="14">
        <f t="shared" si="10"/>
        <v>45230</v>
      </c>
      <c r="AA26" s="49">
        <v>703.15</v>
      </c>
      <c r="AC26" s="18"/>
      <c r="AD26" s="68">
        <f t="shared" si="11"/>
        <v>45230</v>
      </c>
      <c r="AE26" s="69">
        <v>791.13698640504458</v>
      </c>
      <c r="AF26" s="2"/>
      <c r="AG26" s="18"/>
      <c r="AH26" s="14">
        <f t="shared" si="12"/>
        <v>45230</v>
      </c>
      <c r="AI26" s="25">
        <v>921.7864889748912</v>
      </c>
      <c r="AJ26" s="2"/>
      <c r="AK26" s="18"/>
      <c r="AL26" s="14">
        <f t="shared" si="13"/>
        <v>45230</v>
      </c>
      <c r="AM26" s="38">
        <v>249.69867393502611</v>
      </c>
      <c r="AN26" s="59">
        <v>4.2910998976631018E-2</v>
      </c>
      <c r="AO26" s="2"/>
      <c r="AP26" s="2"/>
      <c r="AQ26" s="7"/>
      <c r="AR26" s="2"/>
      <c r="AS26" s="2"/>
      <c r="AT26" s="2"/>
      <c r="AU26" s="2"/>
    </row>
    <row r="27" spans="1:47" s="1" customFormat="1" x14ac:dyDescent="0.25">
      <c r="A27" s="17">
        <v>31</v>
      </c>
      <c r="B27" s="14">
        <v>45230</v>
      </c>
      <c r="C27" s="25">
        <v>1312.67</v>
      </c>
      <c r="D27" s="4"/>
      <c r="E27" s="18">
        <v>31</v>
      </c>
      <c r="F27" s="14">
        <v>45230</v>
      </c>
      <c r="G27" s="4">
        <v>1334.3144850000001</v>
      </c>
      <c r="H27" s="16">
        <v>14.31</v>
      </c>
      <c r="I27" s="19"/>
      <c r="J27" s="17">
        <v>31</v>
      </c>
      <c r="K27" s="14">
        <v>45230</v>
      </c>
      <c r="L27" s="4">
        <v>94.43</v>
      </c>
      <c r="M27" s="35">
        <f>L27*Лист2!N45</f>
        <v>1188.1182600000002</v>
      </c>
      <c r="N27" s="4"/>
      <c r="O27" s="18">
        <v>31</v>
      </c>
      <c r="P27" s="14">
        <v>45230</v>
      </c>
      <c r="Q27" s="3">
        <v>1055.5164199999999</v>
      </c>
      <c r="R27" s="15">
        <v>11.32</v>
      </c>
      <c r="T27" s="13" t="s">
        <v>16</v>
      </c>
      <c r="U27" s="14">
        <v>45231</v>
      </c>
      <c r="V27" s="3">
        <v>992.00362799999994</v>
      </c>
      <c r="W27" s="53">
        <v>10.78</v>
      </c>
      <c r="X27" s="3"/>
      <c r="Y27" s="18"/>
      <c r="Z27" s="14">
        <f t="shared" si="10"/>
        <v>45260</v>
      </c>
      <c r="AA27" s="49">
        <v>701.15</v>
      </c>
      <c r="AC27" s="18"/>
      <c r="AD27" s="68">
        <f t="shared" si="11"/>
        <v>45260</v>
      </c>
      <c r="AE27" s="69">
        <v>788.8822973489863</v>
      </c>
      <c r="AF27" s="2"/>
      <c r="AG27" s="18"/>
      <c r="AH27" s="14">
        <f t="shared" si="12"/>
        <v>45260</v>
      </c>
      <c r="AI27" s="25">
        <v>963.92066291100343</v>
      </c>
      <c r="AJ27" s="2"/>
      <c r="AK27" s="18"/>
      <c r="AL27" s="14">
        <f t="shared" si="13"/>
        <v>45260</v>
      </c>
      <c r="AM27" s="38">
        <v>240.60183343697304</v>
      </c>
      <c r="AN27" s="59">
        <v>4.2122095976192798E-2</v>
      </c>
      <c r="AO27" s="2"/>
      <c r="AP27" s="2"/>
      <c r="AQ27" s="7"/>
      <c r="AR27" s="2"/>
      <c r="AS27" s="2"/>
      <c r="AT27" s="2"/>
      <c r="AU27" s="2"/>
    </row>
    <row r="28" spans="1:47" s="1" customFormat="1" x14ac:dyDescent="0.25">
      <c r="A28" s="17">
        <v>30</v>
      </c>
      <c r="B28" s="14">
        <v>45260</v>
      </c>
      <c r="C28" s="25">
        <v>1304.22</v>
      </c>
      <c r="D28" s="4"/>
      <c r="E28" s="18">
        <v>30</v>
      </c>
      <c r="F28" s="14">
        <v>45260</v>
      </c>
      <c r="G28" s="4">
        <v>1303.9297470000001</v>
      </c>
      <c r="H28" s="16">
        <v>14.67</v>
      </c>
      <c r="I28" s="19"/>
      <c r="J28" s="17">
        <v>30</v>
      </c>
      <c r="K28" s="14">
        <v>45260</v>
      </c>
      <c r="L28" s="4">
        <v>93.78</v>
      </c>
      <c r="M28" s="35">
        <f>L28*Лист2!N46</f>
        <v>1188.28638</v>
      </c>
      <c r="N28" s="4"/>
      <c r="O28" s="18">
        <v>30</v>
      </c>
      <c r="P28" s="14">
        <v>45260</v>
      </c>
      <c r="Q28" s="3">
        <v>1050.610062</v>
      </c>
      <c r="R28" s="15">
        <v>11.82</v>
      </c>
      <c r="T28" s="18">
        <v>29</v>
      </c>
      <c r="U28" s="14">
        <v>45260</v>
      </c>
      <c r="V28" s="3">
        <v>983.94698700000004</v>
      </c>
      <c r="W28" s="35">
        <v>11.07</v>
      </c>
      <c r="Y28" s="18"/>
      <c r="Z28" s="14">
        <f t="shared" si="10"/>
        <v>45291</v>
      </c>
      <c r="AA28" s="49">
        <v>713.99</v>
      </c>
      <c r="AC28" s="18"/>
      <c r="AD28" s="68">
        <f t="shared" si="11"/>
        <v>45291</v>
      </c>
      <c r="AE28" s="69">
        <v>803.33889060582385</v>
      </c>
      <c r="AF28" s="2"/>
      <c r="AG28" s="18"/>
      <c r="AH28" s="14">
        <f t="shared" si="12"/>
        <v>45291</v>
      </c>
      <c r="AI28" s="25">
        <v>961.86076996301551</v>
      </c>
      <c r="AJ28" s="2"/>
      <c r="AK28" s="18"/>
      <c r="AL28" s="14">
        <f t="shared" si="13"/>
        <v>45291</v>
      </c>
      <c r="AM28" s="38">
        <v>257.80755536783857</v>
      </c>
      <c r="AN28" s="59">
        <v>4.3602192454206955E-2</v>
      </c>
      <c r="AO28" s="2"/>
      <c r="AP28" s="2"/>
      <c r="AQ28" s="7"/>
      <c r="AR28" s="2"/>
      <c r="AS28" s="2"/>
      <c r="AT28" s="2"/>
      <c r="AU28" s="2"/>
    </row>
    <row r="29" spans="1:47" s="1" customFormat="1" x14ac:dyDescent="0.25">
      <c r="A29" s="17">
        <v>31</v>
      </c>
      <c r="B29" s="14">
        <v>45291</v>
      </c>
      <c r="C29" s="25">
        <v>1341.03</v>
      </c>
      <c r="D29" s="4"/>
      <c r="E29" s="18">
        <v>31</v>
      </c>
      <c r="F29" s="30">
        <v>45291</v>
      </c>
      <c r="G29" s="4">
        <v>1348.0151489999998</v>
      </c>
      <c r="H29" s="16">
        <v>15.03</v>
      </c>
      <c r="I29" s="19"/>
      <c r="J29" s="17">
        <v>31</v>
      </c>
      <c r="K29" s="14">
        <v>45291</v>
      </c>
      <c r="L29" s="4">
        <v>95.26</v>
      </c>
      <c r="M29" s="35">
        <f>L29*Лист2!N47</f>
        <v>1213.5171400000002</v>
      </c>
      <c r="N29" s="4"/>
      <c r="O29" s="18">
        <v>31</v>
      </c>
      <c r="P29" s="14">
        <v>45291</v>
      </c>
      <c r="Q29" s="3">
        <v>1066.3938869999999</v>
      </c>
      <c r="R29" s="15">
        <v>11.89</v>
      </c>
      <c r="T29" s="18">
        <v>31</v>
      </c>
      <c r="U29" s="14">
        <v>45291</v>
      </c>
      <c r="V29" s="3">
        <v>996.43701299999998</v>
      </c>
      <c r="W29" s="35">
        <v>11.11</v>
      </c>
      <c r="Y29" s="18"/>
      <c r="Z29" s="14">
        <f t="shared" si="10"/>
        <v>45322</v>
      </c>
      <c r="AA29" s="49">
        <v>806.34</v>
      </c>
      <c r="AC29" s="18"/>
      <c r="AD29" s="68">
        <f t="shared" si="11"/>
        <v>45322</v>
      </c>
      <c r="AE29" s="69">
        <v>907.24576944726198</v>
      </c>
      <c r="AF29" s="2"/>
      <c r="AG29" s="18"/>
      <c r="AH29" s="14">
        <f t="shared" si="12"/>
        <v>45322</v>
      </c>
      <c r="AI29" s="25">
        <v>970.42805199669181</v>
      </c>
      <c r="AJ29" s="2"/>
      <c r="AK29" s="18"/>
      <c r="AL29" s="14">
        <f t="shared" si="13"/>
        <v>45322</v>
      </c>
      <c r="AM29" s="38">
        <v>252.53883048411745</v>
      </c>
      <c r="AN29" s="59">
        <v>4.3154350995835172E-2</v>
      </c>
      <c r="AO29" s="2"/>
      <c r="AP29" s="2"/>
      <c r="AQ29" s="7"/>
      <c r="AR29" s="2"/>
      <c r="AS29" s="2"/>
      <c r="AT29" s="2"/>
      <c r="AU29" s="2"/>
    </row>
    <row r="30" spans="1:47" s="1" customFormat="1" x14ac:dyDescent="0.25">
      <c r="A30" s="17">
        <v>31</v>
      </c>
      <c r="B30" s="14">
        <v>45322</v>
      </c>
      <c r="C30" s="25">
        <v>1352.1</v>
      </c>
      <c r="D30" s="4"/>
      <c r="E30" s="18">
        <v>31</v>
      </c>
      <c r="F30" s="30">
        <v>45322</v>
      </c>
      <c r="G30" s="4">
        <v>1342.0091609999999</v>
      </c>
      <c r="H30" s="16">
        <v>15.03</v>
      </c>
      <c r="I30" s="19"/>
      <c r="J30" s="17">
        <v>31</v>
      </c>
      <c r="K30" s="14">
        <v>45322</v>
      </c>
      <c r="L30" s="4">
        <v>95.27</v>
      </c>
      <c r="M30" s="35">
        <f>L30*Лист2!N48</f>
        <v>1182.11016</v>
      </c>
      <c r="N30" s="4"/>
      <c r="O30" s="18">
        <v>31</v>
      </c>
      <c r="P30" s="14">
        <v>45322</v>
      </c>
      <c r="Q30" s="3">
        <v>1082.179044</v>
      </c>
      <c r="R30" s="15">
        <v>12.12</v>
      </c>
      <c r="T30" s="18">
        <v>31</v>
      </c>
      <c r="U30" s="14">
        <v>45322</v>
      </c>
      <c r="V30" s="3">
        <v>991.10457000000008</v>
      </c>
      <c r="W30" s="35">
        <v>11.1</v>
      </c>
      <c r="Y30" s="18"/>
      <c r="Z30" s="14">
        <f t="shared" si="10"/>
        <v>45351</v>
      </c>
      <c r="AA30" s="49">
        <v>881.78</v>
      </c>
      <c r="AC30" s="18"/>
      <c r="AD30" s="68">
        <f t="shared" si="11"/>
        <v>45351</v>
      </c>
      <c r="AE30" s="69">
        <v>992.12343932833107</v>
      </c>
      <c r="AF30" s="2"/>
      <c r="AG30" s="18"/>
      <c r="AH30" s="14">
        <f t="shared" si="12"/>
        <v>45351</v>
      </c>
      <c r="AI30" s="25">
        <v>959.5043772725146</v>
      </c>
      <c r="AJ30" s="2"/>
      <c r="AK30" s="18"/>
      <c r="AL30" s="14">
        <f t="shared" si="13"/>
        <v>45351</v>
      </c>
      <c r="AM30" s="38">
        <v>261.50598249893392</v>
      </c>
      <c r="AN30" s="59">
        <v>4.3913830524860531E-2</v>
      </c>
      <c r="AO30" s="2"/>
      <c r="AP30" s="2"/>
      <c r="AQ30" s="7"/>
      <c r="AR30" s="2"/>
      <c r="AS30" s="2"/>
      <c r="AT30" s="2"/>
      <c r="AU30" s="2"/>
    </row>
    <row r="31" spans="1:47" s="1" customFormat="1" x14ac:dyDescent="0.25">
      <c r="A31" s="17">
        <v>29</v>
      </c>
      <c r="B31" s="14">
        <v>45351</v>
      </c>
      <c r="C31" s="25">
        <v>1375.72</v>
      </c>
      <c r="D31" s="4"/>
      <c r="E31" s="18">
        <v>29</v>
      </c>
      <c r="F31" s="30">
        <v>45351</v>
      </c>
      <c r="G31" s="4">
        <v>1384.4688440000002</v>
      </c>
      <c r="H31" s="16">
        <v>15.07</v>
      </c>
      <c r="I31" s="19"/>
      <c r="J31" s="17">
        <v>29</v>
      </c>
      <c r="K31" s="14">
        <v>45351</v>
      </c>
      <c r="L31" s="4">
        <v>96.45</v>
      </c>
      <c r="M31" s="35">
        <f>L31*Лист2!N49</f>
        <v>1194.8226</v>
      </c>
      <c r="N31" s="4"/>
      <c r="O31" s="18">
        <v>29</v>
      </c>
      <c r="P31" s="14">
        <v>45351</v>
      </c>
      <c r="Q31" s="3">
        <v>1109.7799360000001</v>
      </c>
      <c r="R31" s="15">
        <v>12.08</v>
      </c>
      <c r="T31" s="18">
        <v>29</v>
      </c>
      <c r="U31" s="14">
        <v>45351</v>
      </c>
      <c r="V31" s="3">
        <v>1004.130356</v>
      </c>
      <c r="W31" s="35">
        <v>10.93</v>
      </c>
      <c r="Y31" s="18"/>
      <c r="Z31" s="14">
        <f t="shared" si="10"/>
        <v>45382</v>
      </c>
      <c r="AA31" s="49">
        <v>922.81</v>
      </c>
      <c r="AC31" s="18"/>
      <c r="AD31" s="68">
        <f t="shared" si="11"/>
        <v>45382</v>
      </c>
      <c r="AE31" s="69">
        <v>1038.2792100770446</v>
      </c>
      <c r="AF31" s="2"/>
      <c r="AG31" s="18"/>
      <c r="AH31" s="14">
        <f t="shared" si="12"/>
        <v>45382</v>
      </c>
      <c r="AI31" s="25">
        <v>938.15639581155085</v>
      </c>
      <c r="AJ31" s="2"/>
      <c r="AK31" s="18"/>
      <c r="AL31" s="14">
        <f t="shared" si="13"/>
        <v>45382</v>
      </c>
      <c r="AM31" s="38">
        <v>329.73926940193098</v>
      </c>
      <c r="AN31" s="59">
        <v>4.9311230824736575E-2</v>
      </c>
      <c r="AO31" s="2"/>
      <c r="AP31" s="2"/>
      <c r="AQ31" s="7"/>
      <c r="AR31" s="2"/>
      <c r="AS31" s="2"/>
      <c r="AT31" s="2"/>
      <c r="AU31" s="2"/>
    </row>
    <row r="32" spans="1:47" s="1" customFormat="1" x14ac:dyDescent="0.25">
      <c r="A32" s="17">
        <v>31</v>
      </c>
      <c r="B32" s="14">
        <v>45382</v>
      </c>
      <c r="C32" s="25">
        <v>1411.65</v>
      </c>
      <c r="D32" s="4"/>
      <c r="E32" s="18">
        <v>31</v>
      </c>
      <c r="F32" s="30">
        <v>45382</v>
      </c>
      <c r="G32" s="4">
        <v>1439.0622800000001</v>
      </c>
      <c r="H32" s="16">
        <v>15.58</v>
      </c>
      <c r="I32" s="19"/>
      <c r="J32" s="17">
        <v>31</v>
      </c>
      <c r="K32" s="14">
        <v>45382</v>
      </c>
      <c r="L32" s="4">
        <v>98.29</v>
      </c>
      <c r="M32" s="35">
        <f>L32*Лист2!N50</f>
        <v>1153.3840050000001</v>
      </c>
      <c r="O32" s="18">
        <v>31</v>
      </c>
      <c r="P32" s="14">
        <v>45382</v>
      </c>
      <c r="Q32" s="3">
        <v>1141.6437599999999</v>
      </c>
      <c r="R32" s="15">
        <v>12.36</v>
      </c>
      <c r="T32" s="18">
        <v>31</v>
      </c>
      <c r="U32" s="14">
        <v>45382</v>
      </c>
      <c r="V32" s="3">
        <v>1027.1099199999999</v>
      </c>
      <c r="W32" s="35">
        <v>11.12</v>
      </c>
      <c r="Y32" s="18"/>
      <c r="Z32" s="30">
        <v>45412</v>
      </c>
      <c r="AA32" s="49">
        <v>976.79</v>
      </c>
      <c r="AC32" s="18"/>
      <c r="AD32" s="68">
        <f t="shared" si="11"/>
        <v>45412</v>
      </c>
      <c r="AE32" s="69">
        <v>1099.0239342839009</v>
      </c>
      <c r="AF32" s="2"/>
      <c r="AG32" s="18"/>
      <c r="AH32" s="14">
        <f t="shared" si="12"/>
        <v>45412</v>
      </c>
      <c r="AI32" s="25">
        <v>933.7088996738504</v>
      </c>
      <c r="AJ32" s="2"/>
      <c r="AK32" s="18"/>
      <c r="AL32" s="14">
        <f t="shared" si="13"/>
        <v>45412</v>
      </c>
      <c r="AM32" s="38">
        <v>342.79541782896445</v>
      </c>
      <c r="AN32" s="59">
        <v>5.027800202830221E-2</v>
      </c>
      <c r="AO32" s="2"/>
      <c r="AP32" s="2"/>
      <c r="AQ32" s="7"/>
      <c r="AR32" s="2"/>
      <c r="AS32" s="2"/>
      <c r="AT32" s="2"/>
      <c r="AU32" s="2"/>
    </row>
    <row r="33" spans="1:47" s="1" customFormat="1" x14ac:dyDescent="0.25">
      <c r="A33" s="17">
        <v>30</v>
      </c>
      <c r="B33" s="14">
        <v>45412</v>
      </c>
      <c r="C33" s="25">
        <v>1443.99</v>
      </c>
      <c r="D33" s="4"/>
      <c r="E33" s="18">
        <v>30</v>
      </c>
      <c r="F33" s="30">
        <v>45412</v>
      </c>
      <c r="G33" s="4">
        <v>1455.616526</v>
      </c>
      <c r="H33" s="16">
        <v>15.86</v>
      </c>
      <c r="I33" s="19"/>
      <c r="J33" s="17">
        <v>30</v>
      </c>
      <c r="K33" s="14">
        <v>45412</v>
      </c>
      <c r="L33" s="4">
        <v>99.6</v>
      </c>
      <c r="M33" s="35">
        <f>L33*Лист2!N51</f>
        <v>1179.2639999999999</v>
      </c>
      <c r="O33" s="18">
        <v>30</v>
      </c>
      <c r="P33" s="14">
        <v>45412</v>
      </c>
      <c r="Q33" s="3">
        <v>1144.485377</v>
      </c>
      <c r="R33" s="15">
        <v>12.47</v>
      </c>
      <c r="T33" s="18">
        <v>30</v>
      </c>
      <c r="U33" s="14">
        <v>45412</v>
      </c>
      <c r="V33" s="3">
        <v>1019.665801</v>
      </c>
      <c r="W33" s="35">
        <v>11.11</v>
      </c>
      <c r="Y33" s="13" t="s">
        <v>16</v>
      </c>
      <c r="Z33" s="14">
        <v>45433</v>
      </c>
      <c r="AA33" s="49">
        <v>1000</v>
      </c>
      <c r="AC33" s="13"/>
      <c r="AD33" s="68">
        <f t="shared" si="11"/>
        <v>45443</v>
      </c>
      <c r="AE33" s="69">
        <v>1071.0037607316347</v>
      </c>
      <c r="AF33" s="2"/>
      <c r="AG33" s="13"/>
      <c r="AH33" s="14">
        <f t="shared" si="12"/>
        <v>45443</v>
      </c>
      <c r="AI33" s="25">
        <v>890.71643700941001</v>
      </c>
      <c r="AJ33" s="2"/>
      <c r="AK33" s="13"/>
      <c r="AL33" s="14">
        <f t="shared" si="13"/>
        <v>45443</v>
      </c>
      <c r="AM33" s="38">
        <v>328.17303655940066</v>
      </c>
      <c r="AN33" s="59">
        <v>4.919397939730185E-2</v>
      </c>
      <c r="AO33" s="2"/>
      <c r="AP33" s="2"/>
      <c r="AQ33" s="7"/>
      <c r="AR33" s="2"/>
      <c r="AS33" s="2"/>
      <c r="AT33" s="2"/>
      <c r="AU33" s="2"/>
    </row>
    <row r="34" spans="1:47" s="1" customFormat="1" x14ac:dyDescent="0.25">
      <c r="A34" s="17">
        <v>31</v>
      </c>
      <c r="B34" s="14">
        <v>45443</v>
      </c>
      <c r="C34" s="25">
        <v>1509.91</v>
      </c>
      <c r="D34" s="4"/>
      <c r="E34" s="18">
        <v>31</v>
      </c>
      <c r="F34" s="30">
        <v>45443</v>
      </c>
      <c r="G34" s="4">
        <v>1438.3861380000001</v>
      </c>
      <c r="H34" s="16">
        <v>16.02</v>
      </c>
      <c r="I34" s="19"/>
      <c r="J34" s="17">
        <v>31</v>
      </c>
      <c r="K34" s="14">
        <v>45443</v>
      </c>
      <c r="L34" s="4">
        <v>103.22</v>
      </c>
      <c r="M34" s="35">
        <f>L34*Лист2!N52</f>
        <v>1243.69778</v>
      </c>
      <c r="O34" s="18">
        <v>31</v>
      </c>
      <c r="P34" s="14">
        <v>45443</v>
      </c>
      <c r="Q34" s="3">
        <v>1107.9703460000001</v>
      </c>
      <c r="R34" s="15">
        <v>12.34</v>
      </c>
      <c r="T34" s="18">
        <v>31</v>
      </c>
      <c r="U34" s="14">
        <v>45443</v>
      </c>
      <c r="V34" s="3">
        <v>975.98360300000002</v>
      </c>
      <c r="W34" s="35">
        <v>10.87</v>
      </c>
      <c r="Y34" s="18">
        <v>10</v>
      </c>
      <c r="Z34" s="14">
        <v>45443</v>
      </c>
      <c r="AA34" s="49">
        <v>968.4</v>
      </c>
      <c r="AC34" s="18"/>
      <c r="AD34" s="68">
        <f t="shared" si="11"/>
        <v>45473</v>
      </c>
      <c r="AE34" s="69">
        <v>1078.4633487777535</v>
      </c>
      <c r="AF34" s="2"/>
      <c r="AG34" s="18"/>
      <c r="AH34" s="14">
        <f t="shared" si="12"/>
        <v>45473</v>
      </c>
      <c r="AI34" s="25">
        <v>891.59033098734426</v>
      </c>
      <c r="AJ34" s="2"/>
      <c r="AK34" s="18"/>
      <c r="AL34" s="14">
        <f t="shared" si="13"/>
        <v>45473</v>
      </c>
      <c r="AM34" s="38">
        <v>313.86935794335096</v>
      </c>
      <c r="AN34" s="59">
        <v>4.8109956766301497E-2</v>
      </c>
      <c r="AO34" s="2"/>
      <c r="AP34" s="2"/>
      <c r="AQ34" s="7"/>
      <c r="AR34" s="2"/>
      <c r="AS34" s="2"/>
      <c r="AT34" s="2"/>
      <c r="AU34" s="2"/>
    </row>
    <row r="35" spans="1:47" s="1" customFormat="1" x14ac:dyDescent="0.25">
      <c r="A35" s="17">
        <v>30</v>
      </c>
      <c r="B35" s="14">
        <v>45473</v>
      </c>
      <c r="C35" s="25">
        <v>1543.87</v>
      </c>
      <c r="D35" s="4"/>
      <c r="E35" s="18">
        <v>30</v>
      </c>
      <c r="F35" s="30">
        <v>45473</v>
      </c>
      <c r="G35" s="4">
        <v>1368.53808</v>
      </c>
      <c r="H35" s="16">
        <v>15.96</v>
      </c>
      <c r="I35" s="19"/>
      <c r="J35" s="17">
        <v>30</v>
      </c>
      <c r="K35" s="14">
        <v>45473</v>
      </c>
      <c r="L35" s="4">
        <v>104.28</v>
      </c>
      <c r="M35" s="35">
        <f>L35*Лист2!N53</f>
        <v>1322.4789600000001</v>
      </c>
      <c r="O35" s="18">
        <v>30</v>
      </c>
      <c r="P35" s="14">
        <v>45473</v>
      </c>
      <c r="Q35" s="3">
        <v>1032.4059199999999</v>
      </c>
      <c r="R35" s="15">
        <v>12.04</v>
      </c>
      <c r="T35" s="18">
        <v>30</v>
      </c>
      <c r="U35" s="14">
        <v>45473</v>
      </c>
      <c r="V35" s="3">
        <v>927.79336000000012</v>
      </c>
      <c r="W35" s="35">
        <v>10.82</v>
      </c>
      <c r="Y35" s="18">
        <v>30</v>
      </c>
      <c r="Z35" s="14">
        <v>45473</v>
      </c>
      <c r="AA35" s="49">
        <v>967.11</v>
      </c>
      <c r="AC35" s="18"/>
      <c r="AD35" s="68">
        <f t="shared" si="11"/>
        <v>45504</v>
      </c>
      <c r="AE35" s="69">
        <v>1042.6856239242777</v>
      </c>
      <c r="AF35" s="2"/>
      <c r="AG35" s="18"/>
      <c r="AH35" s="14">
        <f t="shared" si="12"/>
        <v>45504</v>
      </c>
      <c r="AI35" s="25">
        <v>877.7484745868511</v>
      </c>
      <c r="AJ35" s="2"/>
      <c r="AK35" s="18"/>
      <c r="AL35" s="14">
        <f t="shared" si="13"/>
        <v>45504</v>
      </c>
      <c r="AM35" s="38">
        <v>336.98797675103305</v>
      </c>
      <c r="AN35" s="59">
        <v>4.9850292418791867E-2</v>
      </c>
      <c r="AO35" s="2"/>
      <c r="AP35" s="2"/>
      <c r="AQ35" s="7"/>
      <c r="AR35" s="2"/>
      <c r="AS35" s="2"/>
      <c r="AT35" s="2"/>
      <c r="AU35" s="2"/>
    </row>
    <row r="36" spans="1:47" s="1" customFormat="1" x14ac:dyDescent="0.25">
      <c r="A36" s="17">
        <v>31</v>
      </c>
      <c r="B36" s="14">
        <v>45504</v>
      </c>
      <c r="C36" s="25">
        <v>1585.14</v>
      </c>
      <c r="D36" s="4"/>
      <c r="E36" s="18">
        <v>31</v>
      </c>
      <c r="F36" s="30">
        <v>45504</v>
      </c>
      <c r="G36" s="4">
        <v>1330.88</v>
      </c>
      <c r="H36" s="29">
        <v>15.455741611513767</v>
      </c>
      <c r="I36" s="19"/>
      <c r="J36" s="17">
        <v>31</v>
      </c>
      <c r="K36" s="14">
        <v>45504</v>
      </c>
      <c r="L36" s="4">
        <v>106.15</v>
      </c>
      <c r="M36" s="35">
        <f>L36*Лист2!N54</f>
        <v>1405.4260000000002</v>
      </c>
      <c r="O36" s="18">
        <v>31</v>
      </c>
      <c r="P36" s="14">
        <v>45504</v>
      </c>
      <c r="Q36" s="3">
        <v>988.49</v>
      </c>
      <c r="R36" s="15">
        <v>11.479506811707473</v>
      </c>
      <c r="T36" s="18">
        <v>31</v>
      </c>
      <c r="U36" s="14">
        <v>45504</v>
      </c>
      <c r="V36" s="3">
        <v>895.29</v>
      </c>
      <c r="W36" s="35">
        <v>10.397158953002645</v>
      </c>
      <c r="Y36" s="18">
        <v>31</v>
      </c>
      <c r="Z36" s="14">
        <v>45504</v>
      </c>
      <c r="AA36" s="49">
        <v>975.79</v>
      </c>
      <c r="AC36" s="18"/>
      <c r="AD36" s="68">
        <v>45535</v>
      </c>
      <c r="AE36" s="69">
        <v>993.10728849432007</v>
      </c>
      <c r="AF36" s="2"/>
      <c r="AG36" s="18"/>
      <c r="AH36" s="14">
        <f t="shared" si="12"/>
        <v>45535</v>
      </c>
      <c r="AI36" s="25">
        <v>878.60676331517925</v>
      </c>
      <c r="AJ36" s="2"/>
      <c r="AK36" s="18"/>
      <c r="AL36" s="14">
        <f t="shared" si="13"/>
        <v>45535</v>
      </c>
      <c r="AM36" s="38">
        <v>387.7187683954308</v>
      </c>
      <c r="AN36" s="59">
        <v>5.3471075492405297E-2</v>
      </c>
      <c r="AO36" s="2"/>
      <c r="AP36" s="2"/>
      <c r="AQ36" s="7"/>
      <c r="AR36" s="2"/>
      <c r="AS36" s="2"/>
      <c r="AT36" s="2"/>
      <c r="AU36" s="2"/>
    </row>
    <row r="37" spans="1:47" s="1" customFormat="1" x14ac:dyDescent="0.25">
      <c r="A37" s="17">
        <v>31</v>
      </c>
      <c r="B37" s="14">
        <v>45535</v>
      </c>
      <c r="C37" s="25">
        <v>1615.36</v>
      </c>
      <c r="D37" s="4"/>
      <c r="E37" s="18">
        <v>31</v>
      </c>
      <c r="F37" s="30">
        <v>45535</v>
      </c>
      <c r="G37" s="4">
        <v>1361.16</v>
      </c>
      <c r="H37" s="29">
        <v>14.927160510073827</v>
      </c>
      <c r="I37" s="19"/>
      <c r="J37" s="17">
        <v>31</v>
      </c>
      <c r="K37" s="14">
        <v>45535</v>
      </c>
      <c r="L37" s="4">
        <v>107.57</v>
      </c>
      <c r="M37" s="35">
        <f>L37*Лист2!N55</f>
        <v>1460.2627499999999</v>
      </c>
      <c r="O37" s="18">
        <v>31</v>
      </c>
      <c r="P37" s="14">
        <v>45535</v>
      </c>
      <c r="Q37" s="3">
        <v>1009.28</v>
      </c>
      <c r="R37" s="15">
        <v>11.068268652919063</v>
      </c>
      <c r="T37" s="18">
        <v>31</v>
      </c>
      <c r="U37" s="14">
        <v>45535</v>
      </c>
      <c r="V37" s="3">
        <v>894.42</v>
      </c>
      <c r="W37" s="35">
        <v>9.8086565160746932</v>
      </c>
      <c r="Y37" s="18">
        <v>31</v>
      </c>
      <c r="Z37" s="14">
        <v>45535</v>
      </c>
      <c r="AA37" s="49">
        <v>970.26</v>
      </c>
      <c r="AC37" s="13" t="s">
        <v>16</v>
      </c>
      <c r="AD37" s="68">
        <v>45545</v>
      </c>
      <c r="AE37" s="69">
        <v>1000</v>
      </c>
      <c r="AF37" s="2"/>
      <c r="AG37" s="13"/>
      <c r="AH37" s="14">
        <f t="shared" si="12"/>
        <v>45565</v>
      </c>
      <c r="AI37" s="25">
        <v>872.97326820742489</v>
      </c>
      <c r="AJ37" s="2"/>
      <c r="AK37" s="13"/>
      <c r="AL37" s="14">
        <f t="shared" si="13"/>
        <v>45565</v>
      </c>
      <c r="AM37" s="38">
        <v>461.27951173260919</v>
      </c>
      <c r="AN37" s="59">
        <v>5.8323367269264029E-2</v>
      </c>
      <c r="AO37" s="2"/>
      <c r="AP37" s="2"/>
      <c r="AQ37" s="7"/>
      <c r="AR37" s="2"/>
      <c r="AS37" s="2"/>
      <c r="AT37" s="2"/>
      <c r="AU37" s="2"/>
    </row>
    <row r="38" spans="1:47" s="1" customFormat="1" x14ac:dyDescent="0.25">
      <c r="A38" s="17">
        <v>30</v>
      </c>
      <c r="B38" s="14">
        <v>45565</v>
      </c>
      <c r="C38" s="25">
        <v>1667.55</v>
      </c>
      <c r="D38" s="4"/>
      <c r="E38" s="18">
        <v>30</v>
      </c>
      <c r="F38" s="30">
        <v>45565</v>
      </c>
      <c r="G38" s="4">
        <v>1423.97</v>
      </c>
      <c r="H38" s="29">
        <v>15.275025986327277</v>
      </c>
      <c r="I38" s="19"/>
      <c r="J38" s="17">
        <v>30</v>
      </c>
      <c r="K38" s="14">
        <v>45565</v>
      </c>
      <c r="L38" s="4">
        <v>108.52</v>
      </c>
      <c r="M38" s="35">
        <f>L38*Лист2!N56</f>
        <v>1573.5942600000001</v>
      </c>
      <c r="O38" s="18">
        <v>30</v>
      </c>
      <c r="P38" s="14">
        <v>45565</v>
      </c>
      <c r="Q38" s="3">
        <v>1044.1199999999999</v>
      </c>
      <c r="R38" s="15">
        <v>11.2003484152363</v>
      </c>
      <c r="T38" s="18">
        <v>30</v>
      </c>
      <c r="U38" s="14">
        <v>45565</v>
      </c>
      <c r="V38" s="3">
        <v>907.48</v>
      </c>
      <c r="W38" s="35">
        <v>9.7346015590723667</v>
      </c>
      <c r="Y38" s="18">
        <v>30</v>
      </c>
      <c r="Z38" s="14">
        <v>45565</v>
      </c>
      <c r="AA38" s="49">
        <v>1027.24</v>
      </c>
      <c r="AC38" s="18">
        <v>20</v>
      </c>
      <c r="AD38" s="68">
        <v>45565</v>
      </c>
      <c r="AE38" s="25">
        <v>1072.18</v>
      </c>
      <c r="AF38" s="2"/>
      <c r="AG38" s="18"/>
      <c r="AH38" s="14">
        <f t="shared" si="12"/>
        <v>45596</v>
      </c>
      <c r="AI38" s="25">
        <v>837.26845710897146</v>
      </c>
      <c r="AJ38" s="2"/>
      <c r="AK38" s="18"/>
      <c r="AL38" s="14">
        <f t="shared" si="13"/>
        <v>45596</v>
      </c>
      <c r="AM38" s="38">
        <v>536.56096770036572</v>
      </c>
      <c r="AN38" s="59">
        <v>6.2902809812469609E-2</v>
      </c>
      <c r="AO38" s="2"/>
      <c r="AP38" s="2"/>
      <c r="AQ38" s="7"/>
      <c r="AR38" s="2"/>
      <c r="AS38" s="2"/>
      <c r="AT38" s="2"/>
      <c r="AU38" s="2"/>
    </row>
    <row r="39" spans="1:47" s="1" customFormat="1" x14ac:dyDescent="0.25">
      <c r="A39" s="17">
        <v>31</v>
      </c>
      <c r="B39" s="14">
        <v>45596</v>
      </c>
      <c r="C39" s="25">
        <v>1750</v>
      </c>
      <c r="D39" s="4"/>
      <c r="E39" s="18">
        <v>31</v>
      </c>
      <c r="F39" s="30">
        <v>45596</v>
      </c>
      <c r="G39" s="4">
        <v>1488.28</v>
      </c>
      <c r="H39" s="29">
        <v>15.339518833756259</v>
      </c>
      <c r="I39" s="19"/>
      <c r="J39" s="17">
        <v>31</v>
      </c>
      <c r="K39" s="14">
        <v>45596</v>
      </c>
      <c r="L39" s="4">
        <v>112.93</v>
      </c>
      <c r="M39" s="35">
        <f>L39*Лист2!N57</f>
        <v>1547.7056500000001</v>
      </c>
      <c r="O39" s="18">
        <v>31</v>
      </c>
      <c r="P39" s="14">
        <v>45596</v>
      </c>
      <c r="Q39" s="3">
        <v>1047.92</v>
      </c>
      <c r="R39" s="15">
        <v>10.800782498098382</v>
      </c>
      <c r="T39" s="18">
        <v>31</v>
      </c>
      <c r="U39" s="14">
        <v>45596</v>
      </c>
      <c r="V39" s="3">
        <v>898.4</v>
      </c>
      <c r="W39" s="35">
        <v>9.2596982558702816</v>
      </c>
      <c r="Y39" s="18">
        <v>31</v>
      </c>
      <c r="Z39" s="14">
        <v>45596</v>
      </c>
      <c r="AA39" s="49">
        <v>1021.44</v>
      </c>
      <c r="AC39" s="18">
        <v>31</v>
      </c>
      <c r="AD39" s="68">
        <v>45596</v>
      </c>
      <c r="AE39" s="25">
        <v>1025.71</v>
      </c>
      <c r="AF39" s="2"/>
      <c r="AG39" s="18"/>
      <c r="AH39" s="14">
        <f t="shared" si="12"/>
        <v>45626</v>
      </c>
      <c r="AI39" s="25">
        <v>864.00024968399362</v>
      </c>
      <c r="AJ39" s="2"/>
      <c r="AK39" s="18"/>
      <c r="AL39" s="14">
        <f t="shared" si="13"/>
        <v>45626</v>
      </c>
      <c r="AM39" s="38">
        <v>594.66679301306863</v>
      </c>
      <c r="AN39" s="59">
        <v>6.6221246437980913E-2</v>
      </c>
      <c r="AO39" s="2"/>
      <c r="AP39" s="2"/>
      <c r="AQ39" s="7"/>
      <c r="AR39" s="2"/>
      <c r="AS39" s="2"/>
      <c r="AT39" s="2"/>
      <c r="AU39" s="2"/>
    </row>
    <row r="40" spans="1:47" s="1" customFormat="1" x14ac:dyDescent="0.25">
      <c r="A40" s="17">
        <v>30</v>
      </c>
      <c r="B40" s="14">
        <v>45626</v>
      </c>
      <c r="C40" s="25">
        <v>1700.46</v>
      </c>
      <c r="D40" s="4"/>
      <c r="E40" s="18">
        <v>30</v>
      </c>
      <c r="F40" s="30">
        <v>45626</v>
      </c>
      <c r="G40" s="4">
        <v>1663.41</v>
      </c>
      <c r="H40" s="29">
        <v>15.438983709993142</v>
      </c>
      <c r="I40" s="19"/>
      <c r="J40" s="17">
        <v>30</v>
      </c>
      <c r="K40" s="14">
        <v>45626</v>
      </c>
      <c r="L40" s="4">
        <v>112.69</v>
      </c>
      <c r="M40" s="35">
        <f>L40*Лист2!N58</f>
        <v>1504.8622599999999</v>
      </c>
      <c r="O40" s="18">
        <v>30</v>
      </c>
      <c r="P40" s="14">
        <v>45626</v>
      </c>
      <c r="Q40" s="3">
        <v>1188.67</v>
      </c>
      <c r="R40" s="15">
        <v>11.032671900828749</v>
      </c>
      <c r="T40" s="18">
        <v>30</v>
      </c>
      <c r="U40" s="14">
        <v>45626</v>
      </c>
      <c r="V40" s="3">
        <v>1056.3</v>
      </c>
      <c r="W40" s="35">
        <v>9.8040762607329253</v>
      </c>
      <c r="Y40" s="18">
        <v>30</v>
      </c>
      <c r="Z40" s="14">
        <v>45626</v>
      </c>
      <c r="AA40" s="49">
        <v>1038.02</v>
      </c>
      <c r="AC40" s="18">
        <v>30</v>
      </c>
      <c r="AD40" s="68">
        <v>45626</v>
      </c>
      <c r="AE40" s="25">
        <v>1055.3</v>
      </c>
      <c r="AF40" s="2"/>
      <c r="AG40" s="18"/>
      <c r="AH40" s="14">
        <f t="shared" si="12"/>
        <v>45657</v>
      </c>
      <c r="AI40" s="25">
        <v>941.60515597446988</v>
      </c>
      <c r="AJ40" s="2"/>
      <c r="AK40" s="18"/>
      <c r="AL40" s="14">
        <f t="shared" si="13"/>
        <v>45657</v>
      </c>
      <c r="AM40" s="38">
        <v>539.08002981430946</v>
      </c>
      <c r="AN40" s="59">
        <v>6.3050295884714558E-2</v>
      </c>
      <c r="AO40" s="2"/>
      <c r="AP40" s="2"/>
      <c r="AQ40" s="7"/>
      <c r="AR40" s="2"/>
      <c r="AS40" s="2"/>
      <c r="AT40" s="2"/>
      <c r="AU40" s="2"/>
    </row>
    <row r="41" spans="1:47" s="1" customFormat="1" x14ac:dyDescent="0.25">
      <c r="A41" s="17">
        <v>31</v>
      </c>
      <c r="B41" s="14">
        <v>45657</v>
      </c>
      <c r="C41" s="25">
        <v>1739.95</v>
      </c>
      <c r="D41" s="4"/>
      <c r="E41" s="18">
        <v>31</v>
      </c>
      <c r="F41" s="30">
        <v>45657</v>
      </c>
      <c r="G41" s="4">
        <v>1616.5</v>
      </c>
      <c r="H41" s="29">
        <v>15.897961933404604</v>
      </c>
      <c r="I41" s="19"/>
      <c r="J41" s="17">
        <v>31</v>
      </c>
      <c r="K41" s="14">
        <v>45657</v>
      </c>
      <c r="L41" s="4">
        <v>117.56</v>
      </c>
      <c r="M41" s="35">
        <f>L41*Лист2!N59</f>
        <v>1425.1798799999999</v>
      </c>
      <c r="O41" s="18">
        <v>31</v>
      </c>
      <c r="P41" s="14">
        <v>45657</v>
      </c>
      <c r="Q41" s="3">
        <v>1201.6199999999999</v>
      </c>
      <c r="R41" s="15">
        <v>11.817698124601074</v>
      </c>
      <c r="T41" s="18">
        <v>31</v>
      </c>
      <c r="U41" s="14">
        <v>45657</v>
      </c>
      <c r="V41" s="3">
        <v>1047.4000000000001</v>
      </c>
      <c r="W41" s="35">
        <v>10.300974530806052</v>
      </c>
      <c r="Y41" s="18">
        <v>31</v>
      </c>
      <c r="Z41" s="14">
        <v>45657</v>
      </c>
      <c r="AA41" s="49">
        <v>1105.18</v>
      </c>
      <c r="AC41" s="18">
        <v>31</v>
      </c>
      <c r="AD41" s="68">
        <v>45657</v>
      </c>
      <c r="AE41" s="25">
        <v>1153.5</v>
      </c>
      <c r="AF41" s="2"/>
      <c r="AG41" s="18"/>
      <c r="AH41" s="14">
        <f t="shared" si="12"/>
        <v>45688</v>
      </c>
      <c r="AI41" s="25">
        <v>924.9075388960847</v>
      </c>
      <c r="AJ41" s="2"/>
      <c r="AK41" s="18"/>
      <c r="AL41" s="14">
        <f t="shared" si="13"/>
        <v>45688</v>
      </c>
      <c r="AM41" s="38">
        <v>576.26938036123397</v>
      </c>
      <c r="AN41" s="59">
        <v>6.5188843932266288E-2</v>
      </c>
      <c r="AO41" s="2"/>
      <c r="AP41" s="2"/>
      <c r="AQ41" s="7"/>
      <c r="AR41" s="2"/>
      <c r="AS41" s="2"/>
      <c r="AT41" s="2"/>
      <c r="AU41" s="2"/>
    </row>
    <row r="42" spans="1:47" s="1" customFormat="1" x14ac:dyDescent="0.25">
      <c r="A42" s="17">
        <v>31</v>
      </c>
      <c r="B42" s="14">
        <v>45688</v>
      </c>
      <c r="C42" s="25">
        <v>1679.28</v>
      </c>
      <c r="D42" s="4"/>
      <c r="E42" s="18">
        <v>31</v>
      </c>
      <c r="F42" s="30">
        <v>45688</v>
      </c>
      <c r="G42" s="4">
        <v>1487.36</v>
      </c>
      <c r="H42" s="29">
        <v>15.206516260490927</v>
      </c>
      <c r="I42" s="19"/>
      <c r="J42" s="17">
        <v>31</v>
      </c>
      <c r="K42" s="14">
        <v>45688</v>
      </c>
      <c r="L42" s="4">
        <v>113.6</v>
      </c>
      <c r="M42" s="35">
        <f>L42*Лист2!N60</f>
        <v>1355.9295999999999</v>
      </c>
      <c r="O42" s="18">
        <v>31</v>
      </c>
      <c r="P42" s="14">
        <v>45688</v>
      </c>
      <c r="Q42" s="3">
        <v>1154.03</v>
      </c>
      <c r="R42" s="15">
        <v>11.798606900880987</v>
      </c>
      <c r="T42" s="18">
        <v>31</v>
      </c>
      <c r="U42" s="14">
        <v>45688</v>
      </c>
      <c r="V42" s="3">
        <v>1006.85</v>
      </c>
      <c r="W42" s="35">
        <v>10.293863554805354</v>
      </c>
      <c r="Y42" s="18">
        <v>31</v>
      </c>
      <c r="Z42" s="14">
        <v>45688</v>
      </c>
      <c r="AA42" s="49">
        <v>1184.42</v>
      </c>
      <c r="AC42" s="18">
        <v>31</v>
      </c>
      <c r="AD42" s="68">
        <v>45688</v>
      </c>
      <c r="AE42" s="25">
        <v>1239.5999999999999</v>
      </c>
      <c r="AF42" s="2"/>
      <c r="AG42" s="18"/>
      <c r="AH42" s="14">
        <f t="shared" si="12"/>
        <v>45716</v>
      </c>
      <c r="AI42" s="25">
        <v>967.22897582746828</v>
      </c>
      <c r="AJ42" s="2"/>
      <c r="AK42" s="18"/>
      <c r="AL42" s="14">
        <f t="shared" si="13"/>
        <v>45716</v>
      </c>
      <c r="AM42" s="38">
        <v>492.04592679418187</v>
      </c>
      <c r="AN42" s="59">
        <v>6.0236999056642204E-2</v>
      </c>
      <c r="AO42" s="2"/>
      <c r="AP42" s="2"/>
      <c r="AQ42" s="7"/>
      <c r="AR42" s="2"/>
      <c r="AS42" s="2"/>
      <c r="AT42" s="2"/>
      <c r="AU42" s="2"/>
    </row>
    <row r="43" spans="1:47" s="1" customFormat="1" x14ac:dyDescent="0.25">
      <c r="A43" s="17">
        <v>28</v>
      </c>
      <c r="B43" s="14">
        <v>45716</v>
      </c>
      <c r="C43" s="25">
        <v>1790.85</v>
      </c>
      <c r="D43" s="4"/>
      <c r="E43" s="18">
        <v>28</v>
      </c>
      <c r="F43" s="30">
        <v>45716</v>
      </c>
      <c r="G43" s="4">
        <v>1486.74</v>
      </c>
      <c r="H43" s="29">
        <v>16.845614162308173</v>
      </c>
      <c r="I43" s="19"/>
      <c r="J43" s="17">
        <v>28</v>
      </c>
      <c r="K43" s="14">
        <v>45716</v>
      </c>
      <c r="L43" s="4">
        <v>121.1</v>
      </c>
      <c r="M43" s="35">
        <f>L43*Лист2!N61</f>
        <v>1414.5690999999999</v>
      </c>
      <c r="O43" s="18">
        <v>28</v>
      </c>
      <c r="P43" s="14">
        <v>45716</v>
      </c>
      <c r="Q43" s="3">
        <v>1139.33</v>
      </c>
      <c r="R43" s="15">
        <v>12.909260249635155</v>
      </c>
      <c r="T43" s="18">
        <v>28</v>
      </c>
      <c r="U43" s="14">
        <v>45716</v>
      </c>
      <c r="V43" s="3">
        <v>958.15</v>
      </c>
      <c r="W43" s="35">
        <v>10.856387269876089</v>
      </c>
      <c r="Y43" s="18">
        <v>28</v>
      </c>
      <c r="Z43" s="14">
        <v>45716</v>
      </c>
      <c r="AA43" s="49">
        <v>1281.3900000000001</v>
      </c>
      <c r="AC43" s="18">
        <v>28</v>
      </c>
      <c r="AD43" s="68">
        <v>45716</v>
      </c>
      <c r="AE43" s="25">
        <v>1350.1</v>
      </c>
      <c r="AF43" s="2"/>
      <c r="AG43" s="13" t="s">
        <v>16</v>
      </c>
      <c r="AH43" s="14">
        <v>45728</v>
      </c>
      <c r="AI43" s="29">
        <v>1000</v>
      </c>
      <c r="AJ43" s="2"/>
      <c r="AK43" s="13"/>
      <c r="AL43" s="14">
        <f t="shared" si="13"/>
        <v>45747</v>
      </c>
      <c r="AM43" s="38">
        <v>532.80597237475263</v>
      </c>
      <c r="AN43" s="59">
        <v>6.2682318134463427E-2</v>
      </c>
      <c r="AO43" s="2"/>
      <c r="AP43" s="2"/>
      <c r="AQ43" s="7"/>
      <c r="AR43" s="2"/>
      <c r="AS43" s="2"/>
      <c r="AT43" s="2"/>
      <c r="AU43" s="2"/>
    </row>
    <row r="44" spans="1:47" s="1" customFormat="1" x14ac:dyDescent="0.25">
      <c r="A44" s="17">
        <v>31</v>
      </c>
      <c r="B44" s="14">
        <v>45747</v>
      </c>
      <c r="C44" s="25">
        <v>1871.88</v>
      </c>
      <c r="D44" s="4"/>
      <c r="E44" s="18">
        <v>31</v>
      </c>
      <c r="F44" s="30">
        <v>45747</v>
      </c>
      <c r="G44" s="4">
        <v>1466.49</v>
      </c>
      <c r="H44" s="29">
        <v>17.152672103939</v>
      </c>
      <c r="I44" s="19"/>
      <c r="J44" s="17">
        <v>31</v>
      </c>
      <c r="K44" s="14">
        <v>45747</v>
      </c>
      <c r="L44" s="4">
        <v>126.48</v>
      </c>
      <c r="M44" s="35">
        <f>L44*Лист2!N62</f>
        <v>1412.1491999999998</v>
      </c>
      <c r="O44" s="18">
        <v>31</v>
      </c>
      <c r="P44" s="14">
        <v>45747</v>
      </c>
      <c r="Q44" s="3">
        <v>1134.5899999999999</v>
      </c>
      <c r="R44" s="15">
        <v>13.270632764224883</v>
      </c>
      <c r="T44" s="18">
        <v>31</v>
      </c>
      <c r="U44" s="14">
        <v>45747</v>
      </c>
      <c r="V44" s="3">
        <v>922.09</v>
      </c>
      <c r="W44" s="35">
        <v>10.785145088150013</v>
      </c>
      <c r="Y44" s="18">
        <v>31</v>
      </c>
      <c r="Z44" s="14">
        <v>45747</v>
      </c>
      <c r="AA44" s="49">
        <v>1240.67</v>
      </c>
      <c r="AC44" s="18">
        <v>31</v>
      </c>
      <c r="AD44" s="68">
        <v>45747</v>
      </c>
      <c r="AE44" s="25">
        <v>1305.3699999999999</v>
      </c>
      <c r="AF44" s="2"/>
      <c r="AG44" s="18">
        <v>19</v>
      </c>
      <c r="AH44" s="14">
        <v>45747</v>
      </c>
      <c r="AI44" s="29">
        <v>988.34</v>
      </c>
      <c r="AJ44" s="2"/>
      <c r="AK44" s="18"/>
      <c r="AL44" s="14">
        <f t="shared" si="13"/>
        <v>45777</v>
      </c>
      <c r="AM44" s="38">
        <v>546.7107091296275</v>
      </c>
      <c r="AN44" s="59">
        <v>6.3494966392533075E-2</v>
      </c>
      <c r="AO44" s="2"/>
      <c r="AP44" s="2"/>
      <c r="AQ44" s="7"/>
      <c r="AR44" s="2"/>
      <c r="AS44" s="2"/>
      <c r="AT44" s="2"/>
      <c r="AU44" s="2"/>
    </row>
    <row r="45" spans="1:47" s="1" customFormat="1" x14ac:dyDescent="0.25">
      <c r="A45" s="17">
        <v>30</v>
      </c>
      <c r="B45" s="14">
        <v>45777</v>
      </c>
      <c r="C45" s="25">
        <v>1771.15</v>
      </c>
      <c r="D45" s="4"/>
      <c r="E45" s="18">
        <v>30</v>
      </c>
      <c r="F45" s="30">
        <v>45777</v>
      </c>
      <c r="G45" s="4">
        <v>1344.83</v>
      </c>
      <c r="H45" s="29">
        <v>16.502338229032322</v>
      </c>
      <c r="I45" s="19"/>
      <c r="J45" s="17">
        <v>30</v>
      </c>
      <c r="K45" s="14">
        <v>45777</v>
      </c>
      <c r="L45" s="4">
        <v>119.87</v>
      </c>
      <c r="M45" s="35">
        <f>L45*Лист2!N63</f>
        <v>1306.9426100000001</v>
      </c>
      <c r="O45" s="18">
        <v>30</v>
      </c>
      <c r="P45" s="14">
        <v>45777</v>
      </c>
      <c r="Q45" s="3">
        <v>1104.22</v>
      </c>
      <c r="R45" s="15">
        <v>13.549825568482316</v>
      </c>
      <c r="T45" s="18">
        <v>30</v>
      </c>
      <c r="U45" s="14">
        <v>45777</v>
      </c>
      <c r="V45" s="3">
        <v>892.83</v>
      </c>
      <c r="W45" s="35">
        <v>10.955869991766194</v>
      </c>
      <c r="Y45" s="18">
        <v>30</v>
      </c>
      <c r="Z45" s="14">
        <v>45777</v>
      </c>
      <c r="AA45" s="49">
        <v>1158.1400000000001</v>
      </c>
      <c r="AC45" s="18">
        <v>30</v>
      </c>
      <c r="AD45" s="68">
        <v>45777</v>
      </c>
      <c r="AE45" s="25">
        <v>1213.49</v>
      </c>
      <c r="AF45" s="2"/>
      <c r="AG45" s="18">
        <v>30</v>
      </c>
      <c r="AH45" s="14">
        <v>45777</v>
      </c>
      <c r="AI45" s="29">
        <v>978.17</v>
      </c>
      <c r="AJ45" s="2"/>
      <c r="AK45" s="18"/>
      <c r="AL45" s="14">
        <f t="shared" si="13"/>
        <v>45808</v>
      </c>
      <c r="AM45" s="38">
        <v>506.27899195481899</v>
      </c>
      <c r="AN45" s="59">
        <v>6.1102004870358814E-2</v>
      </c>
      <c r="AO45" s="2"/>
      <c r="AP45" s="2"/>
      <c r="AQ45" s="7"/>
      <c r="AR45" s="2"/>
      <c r="AS45" s="2"/>
      <c r="AT45" s="2"/>
      <c r="AU45" s="2"/>
    </row>
    <row r="46" spans="1:47" s="1" customFormat="1" x14ac:dyDescent="0.25">
      <c r="A46" s="17">
        <v>31</v>
      </c>
      <c r="B46" s="14">
        <v>45808</v>
      </c>
      <c r="C46" s="25">
        <v>1834.88</v>
      </c>
      <c r="D46" s="4"/>
      <c r="E46" s="18">
        <v>31</v>
      </c>
      <c r="F46" s="30">
        <v>45808</v>
      </c>
      <c r="G46" s="4">
        <v>1337.27</v>
      </c>
      <c r="H46" s="29">
        <v>17.009912601711335</v>
      </c>
      <c r="I46" s="19"/>
      <c r="J46" s="17">
        <v>31</v>
      </c>
      <c r="K46" s="14">
        <v>45808</v>
      </c>
      <c r="L46" s="4">
        <v>122.93</v>
      </c>
      <c r="M46" s="35">
        <f>L46*Лист2!N64</f>
        <v>1342.3956000000001</v>
      </c>
      <c r="O46" s="18">
        <v>31</v>
      </c>
      <c r="P46" s="14">
        <v>45808</v>
      </c>
      <c r="Q46" s="3">
        <v>1079.17</v>
      </c>
      <c r="R46" s="15">
        <v>13.726911829614679</v>
      </c>
      <c r="T46" s="18">
        <v>31</v>
      </c>
      <c r="U46" s="14">
        <v>45808</v>
      </c>
      <c r="V46" s="3">
        <v>866.41</v>
      </c>
      <c r="W46" s="35">
        <v>11.020630371763904</v>
      </c>
      <c r="Y46" s="18">
        <v>31</v>
      </c>
      <c r="Z46" s="14">
        <v>45808</v>
      </c>
      <c r="AA46" s="49">
        <v>1118.5</v>
      </c>
      <c r="AC46" s="18">
        <v>31</v>
      </c>
      <c r="AD46" s="68">
        <v>45808</v>
      </c>
      <c r="AE46" s="25">
        <v>1190.08</v>
      </c>
      <c r="AF46" s="2"/>
      <c r="AG46" s="18">
        <v>31</v>
      </c>
      <c r="AH46" s="14">
        <v>45808</v>
      </c>
      <c r="AI46" s="29">
        <v>995.91</v>
      </c>
      <c r="AJ46" s="2"/>
      <c r="AK46" s="18"/>
      <c r="AL46" s="14">
        <f t="shared" si="13"/>
        <v>45838</v>
      </c>
      <c r="AM46" s="38">
        <v>496.81615547686766</v>
      </c>
      <c r="AN46" s="59">
        <v>6.0528284049325982E-2</v>
      </c>
      <c r="AO46" s="2"/>
      <c r="AP46" s="2"/>
      <c r="AQ46" s="7"/>
      <c r="AR46" s="2"/>
      <c r="AS46" s="2"/>
      <c r="AT46" s="2"/>
      <c r="AU46" s="2"/>
    </row>
    <row r="47" spans="1:47" s="1" customFormat="1" x14ac:dyDescent="0.25">
      <c r="A47" s="17">
        <v>30</v>
      </c>
      <c r="B47" s="14">
        <v>45838</v>
      </c>
      <c r="C47" s="25">
        <v>2050.63</v>
      </c>
      <c r="D47" s="4"/>
      <c r="E47" s="18">
        <v>30</v>
      </c>
      <c r="F47" s="30">
        <v>45838</v>
      </c>
      <c r="G47" s="4">
        <v>1429.86</v>
      </c>
      <c r="H47" s="29">
        <v>18.208189648585734</v>
      </c>
      <c r="I47" s="19"/>
      <c r="J47" s="17">
        <v>30</v>
      </c>
      <c r="K47" s="14">
        <v>45838</v>
      </c>
      <c r="L47" s="4">
        <v>134.91</v>
      </c>
      <c r="M47" s="35">
        <f>L47*Лист2!N65</f>
        <v>1497.23118</v>
      </c>
      <c r="O47" s="18">
        <v>30</v>
      </c>
      <c r="P47" s="14">
        <v>45838</v>
      </c>
      <c r="Q47" s="3">
        <v>1089.8</v>
      </c>
      <c r="R47" s="15">
        <v>13.877781796139994</v>
      </c>
      <c r="T47" s="18">
        <v>30</v>
      </c>
      <c r="U47" s="14">
        <v>45838</v>
      </c>
      <c r="V47" s="3">
        <v>861.04</v>
      </c>
      <c r="W47" s="35">
        <v>10.964695575104038</v>
      </c>
      <c r="Y47" s="18">
        <v>30</v>
      </c>
      <c r="Z47" s="14">
        <v>45838</v>
      </c>
      <c r="AA47" s="49">
        <v>1151.56</v>
      </c>
      <c r="AC47" s="18">
        <v>30</v>
      </c>
      <c r="AD47" s="68">
        <v>45838</v>
      </c>
      <c r="AE47" s="25">
        <v>1243.73</v>
      </c>
      <c r="AF47" s="2"/>
      <c r="AG47" s="18">
        <v>30</v>
      </c>
      <c r="AH47" s="14">
        <v>45838</v>
      </c>
      <c r="AI47" s="29">
        <v>1055.75</v>
      </c>
      <c r="AJ47" s="2"/>
      <c r="AK47" s="18"/>
      <c r="AL47" s="14">
        <f t="shared" si="13"/>
        <v>45869</v>
      </c>
      <c r="AM47" s="38">
        <v>522.94818913835138</v>
      </c>
      <c r="AN47" s="59">
        <v>6.2099748149095885E-2</v>
      </c>
      <c r="AO47" s="2"/>
      <c r="AP47" s="2"/>
      <c r="AQ47" s="7"/>
      <c r="AR47" s="2"/>
      <c r="AS47" s="2"/>
      <c r="AT47" s="2"/>
      <c r="AU47" s="2"/>
    </row>
    <row r="48" spans="1:47" s="1" customFormat="1" x14ac:dyDescent="0.25">
      <c r="A48" s="17">
        <v>31</v>
      </c>
      <c r="B48" s="14">
        <v>45869</v>
      </c>
      <c r="C48" s="25">
        <v>2200.46</v>
      </c>
      <c r="D48" s="4"/>
      <c r="E48" s="18">
        <v>31</v>
      </c>
      <c r="F48" s="30">
        <v>45869</v>
      </c>
      <c r="G48" s="4">
        <v>1570.07</v>
      </c>
      <c r="H48" s="29">
        <v>19.548584782914553</v>
      </c>
      <c r="I48" s="19"/>
      <c r="J48" s="17">
        <v>31</v>
      </c>
      <c r="K48" s="14">
        <v>45869</v>
      </c>
      <c r="L48" s="4">
        <v>142.66</v>
      </c>
      <c r="M48" s="35">
        <f>L48*Лист2!N66</f>
        <v>1605.7809600000001</v>
      </c>
      <c r="O48" s="18">
        <v>31</v>
      </c>
      <c r="P48" s="14">
        <v>45869</v>
      </c>
      <c r="Q48" s="3">
        <v>1173.82</v>
      </c>
      <c r="R48" s="15">
        <v>14.614966077869623</v>
      </c>
      <c r="T48" s="18">
        <v>31</v>
      </c>
      <c r="U48" s="14">
        <v>45869</v>
      </c>
      <c r="V48" s="3">
        <v>899.67</v>
      </c>
      <c r="W48" s="35">
        <v>11.201586726480178</v>
      </c>
      <c r="Y48" s="18">
        <v>31</v>
      </c>
      <c r="Z48" s="14">
        <v>45869</v>
      </c>
      <c r="AA48" s="49">
        <v>1191.51</v>
      </c>
      <c r="AC48" s="18">
        <v>31</v>
      </c>
      <c r="AD48" s="68">
        <v>45869</v>
      </c>
      <c r="AE48" s="25">
        <v>1279.32</v>
      </c>
      <c r="AF48" s="2"/>
      <c r="AG48" s="18">
        <v>31</v>
      </c>
      <c r="AH48" s="14">
        <v>45869</v>
      </c>
      <c r="AI48" s="29">
        <v>1094.8</v>
      </c>
      <c r="AJ48" s="2"/>
      <c r="AK48" s="18"/>
      <c r="AL48" s="14">
        <f t="shared" si="13"/>
        <v>45900</v>
      </c>
      <c r="AM48" s="38">
        <v>572.39067393945072</v>
      </c>
      <c r="AN48" s="59">
        <v>6.4969089684621312E-2</v>
      </c>
      <c r="AO48" s="2"/>
      <c r="AP48" s="2"/>
      <c r="AQ48" s="7"/>
      <c r="AR48" s="2"/>
      <c r="AS48" s="2"/>
      <c r="AT48" s="2"/>
      <c r="AU48" s="2"/>
    </row>
    <row r="49" spans="1:47" s="1" customFormat="1" x14ac:dyDescent="0.25">
      <c r="A49" s="17">
        <v>31</v>
      </c>
      <c r="B49" s="14">
        <v>45900</v>
      </c>
      <c r="C49" s="25">
        <v>2267.1999999999998</v>
      </c>
      <c r="D49" s="4"/>
      <c r="E49" s="18">
        <v>31</v>
      </c>
      <c r="F49" s="30">
        <v>45900</v>
      </c>
      <c r="G49" s="4">
        <v>1608.67</v>
      </c>
      <c r="H49" s="29">
        <v>20.025369842004892</v>
      </c>
      <c r="I49" s="19"/>
      <c r="J49" s="17">
        <v>31</v>
      </c>
      <c r="K49" s="14">
        <v>45900</v>
      </c>
      <c r="L49" s="4">
        <v>146.75</v>
      </c>
      <c r="M49" s="35">
        <f>L49*Лист2!N67</f>
        <v>1690.3398749999999</v>
      </c>
      <c r="O49" s="18">
        <v>31</v>
      </c>
      <c r="P49" s="14">
        <v>45900</v>
      </c>
      <c r="Q49" s="3">
        <v>1193.17</v>
      </c>
      <c r="R49" s="15">
        <v>14.853059070154213</v>
      </c>
      <c r="T49" s="18">
        <v>31</v>
      </c>
      <c r="U49" s="14">
        <v>45900</v>
      </c>
      <c r="V49" s="3">
        <v>901.43</v>
      </c>
      <c r="W49" s="35">
        <v>11.221362452633834</v>
      </c>
      <c r="Y49" s="18">
        <v>31</v>
      </c>
      <c r="Z49" s="14">
        <v>45900</v>
      </c>
      <c r="AA49" s="49">
        <v>1217.6400000000001</v>
      </c>
      <c r="AC49" s="18">
        <v>31</v>
      </c>
      <c r="AD49" s="68">
        <v>45900</v>
      </c>
      <c r="AE49" s="25">
        <v>1327.07</v>
      </c>
      <c r="AF49" s="2"/>
      <c r="AG49" s="18">
        <v>31</v>
      </c>
      <c r="AH49" s="14">
        <v>45900</v>
      </c>
      <c r="AI49" s="29">
        <v>1116.6300000000001</v>
      </c>
      <c r="AJ49" s="2"/>
      <c r="AK49" s="18"/>
      <c r="AL49" s="14">
        <f t="shared" si="13"/>
        <v>45930</v>
      </c>
      <c r="AM49" s="38">
        <v>744.23032457444276</v>
      </c>
      <c r="AN49" s="59">
        <v>7.4082254088636543E-2</v>
      </c>
      <c r="AO49" s="2"/>
      <c r="AP49" s="2"/>
      <c r="AQ49" s="7"/>
      <c r="AR49" s="2"/>
      <c r="AS49" s="2"/>
      <c r="AT49" s="2"/>
      <c r="AU49" s="2"/>
    </row>
    <row r="50" spans="1:47" s="1" customFormat="1" x14ac:dyDescent="0.25">
      <c r="A50" s="17">
        <v>30</v>
      </c>
      <c r="B50" s="14">
        <v>45930</v>
      </c>
      <c r="C50" s="25">
        <v>2027.34</v>
      </c>
      <c r="D50" s="4"/>
      <c r="E50" s="18">
        <v>30</v>
      </c>
      <c r="F50" s="30">
        <v>45930</v>
      </c>
      <c r="G50" s="4">
        <v>1480.03</v>
      </c>
      <c r="H50" s="29">
        <v>17.916216752775746</v>
      </c>
      <c r="I50" s="19"/>
      <c r="J50" s="17">
        <v>30</v>
      </c>
      <c r="K50" s="14">
        <v>45930</v>
      </c>
      <c r="L50" s="4">
        <v>131.91</v>
      </c>
      <c r="M50" s="35">
        <f>L50*Лист2!N68</f>
        <v>1485.3725549999999</v>
      </c>
      <c r="O50" s="18">
        <v>30</v>
      </c>
      <c r="P50" s="14">
        <v>45930</v>
      </c>
      <c r="Q50" s="3">
        <v>1186.8</v>
      </c>
      <c r="R50" s="15">
        <v>14.366577733015044</v>
      </c>
      <c r="T50" s="18">
        <v>30</v>
      </c>
      <c r="U50" s="14">
        <v>45930</v>
      </c>
      <c r="V50" s="3">
        <v>902.21</v>
      </c>
      <c r="W50" s="35">
        <v>10.921528561260114</v>
      </c>
      <c r="Y50" s="18">
        <v>30</v>
      </c>
      <c r="Z50" s="14">
        <v>45930</v>
      </c>
      <c r="AA50" s="49">
        <v>1133.46</v>
      </c>
      <c r="AC50" s="18">
        <v>30</v>
      </c>
      <c r="AD50" s="68">
        <v>45930</v>
      </c>
      <c r="AE50" s="25">
        <v>1238.58</v>
      </c>
      <c r="AF50" s="2"/>
      <c r="AG50" s="18">
        <v>30</v>
      </c>
      <c r="AH50" s="14">
        <v>45930</v>
      </c>
      <c r="AI50" s="29">
        <v>1073.24</v>
      </c>
      <c r="AJ50" s="2"/>
      <c r="AK50" s="18"/>
      <c r="AL50" s="14">
        <f t="shared" si="13"/>
        <v>45961</v>
      </c>
      <c r="AM50" s="38">
        <v>797.45130055983861</v>
      </c>
      <c r="AN50" s="59">
        <v>7.6685383263759843E-2</v>
      </c>
      <c r="AO50" s="2"/>
      <c r="AP50" s="2"/>
      <c r="AQ50" s="7"/>
      <c r="AR50" s="2"/>
      <c r="AS50" s="2"/>
      <c r="AT50" s="2"/>
      <c r="AU50" s="2"/>
    </row>
    <row r="51" spans="1:47" s="1" customFormat="1" x14ac:dyDescent="0.25">
      <c r="A51" s="17">
        <v>31</v>
      </c>
      <c r="B51" s="14">
        <v>45961</v>
      </c>
      <c r="C51" s="25">
        <v>2104.9499999999998</v>
      </c>
      <c r="D51" s="4"/>
      <c r="E51" s="18">
        <v>31</v>
      </c>
      <c r="F51" s="30">
        <v>45961</v>
      </c>
      <c r="G51" s="4">
        <v>1476.7</v>
      </c>
      <c r="H51" s="29">
        <v>18.236357618838269</v>
      </c>
      <c r="I51" s="19"/>
      <c r="J51" s="17">
        <v>31</v>
      </c>
      <c r="K51" s="14">
        <v>45961</v>
      </c>
      <c r="L51" s="4">
        <v>134.29</v>
      </c>
      <c r="M51" s="35">
        <f>L51*Лист2!N69</f>
        <v>1466.5810899999999</v>
      </c>
      <c r="O51" s="18">
        <v>31</v>
      </c>
      <c r="P51" s="14">
        <v>45961</v>
      </c>
      <c r="Q51" s="3">
        <v>1157.51</v>
      </c>
      <c r="R51" s="15">
        <v>14.294552927054569</v>
      </c>
      <c r="T51" s="18">
        <v>31</v>
      </c>
      <c r="U51" s="14">
        <v>45961</v>
      </c>
      <c r="V51" s="3">
        <v>880.17</v>
      </c>
      <c r="W51" s="35">
        <v>10.86957058669525</v>
      </c>
      <c r="Y51" s="18">
        <v>31</v>
      </c>
      <c r="Z51" s="14">
        <v>45961</v>
      </c>
      <c r="AA51" s="49">
        <v>1088.96</v>
      </c>
      <c r="AC51" s="18">
        <v>31</v>
      </c>
      <c r="AD51" s="68">
        <v>45961</v>
      </c>
      <c r="AE51" s="25">
        <v>1201.95</v>
      </c>
      <c r="AF51" s="2"/>
      <c r="AG51" s="18">
        <v>31</v>
      </c>
      <c r="AH51" s="14">
        <v>45961</v>
      </c>
      <c r="AI51" s="29">
        <v>1092.6600000000001</v>
      </c>
      <c r="AJ51" s="2"/>
      <c r="AK51" s="18"/>
      <c r="AL51" s="14">
        <f t="shared" si="13"/>
        <v>45991</v>
      </c>
      <c r="AM51" s="38">
        <v>797.60467870066975</v>
      </c>
      <c r="AN51" s="59">
        <v>7.6692757567372094E-2</v>
      </c>
      <c r="AO51" s="2"/>
      <c r="AP51" s="2"/>
      <c r="AQ51" s="7"/>
      <c r="AR51" s="2"/>
      <c r="AS51" s="2"/>
      <c r="AT51" s="2"/>
      <c r="AU51" s="2"/>
    </row>
    <row r="52" spans="1:47" s="1" customFormat="1" x14ac:dyDescent="0.25">
      <c r="A52" s="17">
        <v>30</v>
      </c>
      <c r="B52" s="14">
        <v>45991</v>
      </c>
      <c r="C52" s="25">
        <v>2203.92</v>
      </c>
      <c r="D52" s="4"/>
      <c r="E52" s="18">
        <v>30</v>
      </c>
      <c r="F52" s="30">
        <v>45991</v>
      </c>
      <c r="G52" s="4">
        <v>1464.69</v>
      </c>
      <c r="H52" s="29">
        <v>18.723251402304026</v>
      </c>
      <c r="I52" s="19"/>
      <c r="J52" s="17">
        <v>30</v>
      </c>
      <c r="K52" s="14">
        <v>45991</v>
      </c>
      <c r="L52" s="4">
        <v>138.07</v>
      </c>
      <c r="M52" s="35">
        <f>L52*Лист2!N70</f>
        <v>1550.3189950000001</v>
      </c>
      <c r="O52" s="18">
        <v>30</v>
      </c>
      <c r="P52" s="14">
        <v>45991</v>
      </c>
      <c r="Q52" s="3">
        <v>1122.71</v>
      </c>
      <c r="R52" s="15">
        <v>14.351693246953793</v>
      </c>
      <c r="T52" s="18">
        <v>30</v>
      </c>
      <c r="U52" s="14">
        <v>45991</v>
      </c>
      <c r="V52" s="3">
        <v>850.92</v>
      </c>
      <c r="W52" s="35">
        <v>10.877379570590731</v>
      </c>
      <c r="Y52" s="18">
        <v>30</v>
      </c>
      <c r="Z52" s="14">
        <v>45991</v>
      </c>
      <c r="AA52" s="49">
        <v>1101.23</v>
      </c>
      <c r="AC52" s="18">
        <v>30</v>
      </c>
      <c r="AD52" s="68">
        <v>45991</v>
      </c>
      <c r="AE52" s="25">
        <v>1220.27</v>
      </c>
      <c r="AF52" s="2"/>
      <c r="AG52" s="18">
        <v>30</v>
      </c>
      <c r="AH52" s="14">
        <v>45991</v>
      </c>
      <c r="AI52" s="29">
        <v>1120</v>
      </c>
      <c r="AJ52" s="2"/>
      <c r="AK52" s="18"/>
      <c r="AL52" s="14">
        <f t="shared" si="13"/>
        <v>46022</v>
      </c>
      <c r="AM52" s="38">
        <v>894.2223740427462</v>
      </c>
      <c r="AN52" s="59">
        <v>8.1205093947706225E-2</v>
      </c>
      <c r="AO52" s="2"/>
      <c r="AP52" s="2"/>
      <c r="AQ52" s="7"/>
      <c r="AR52" s="2"/>
      <c r="AS52" s="2"/>
      <c r="AT52" s="2"/>
      <c r="AU52" s="2"/>
    </row>
    <row r="53" spans="1:47" s="1" customFormat="1" x14ac:dyDescent="0.25">
      <c r="A53" s="17">
        <v>31</v>
      </c>
      <c r="B53" s="14">
        <v>46022</v>
      </c>
      <c r="C53" s="25">
        <v>2217.3200000000002</v>
      </c>
      <c r="D53" s="4"/>
      <c r="E53" s="18">
        <v>31</v>
      </c>
      <c r="F53" s="30">
        <v>46022</v>
      </c>
      <c r="G53" s="4">
        <v>1482.6</v>
      </c>
      <c r="H53" s="29">
        <v>18.952608252680989</v>
      </c>
      <c r="I53" s="19"/>
      <c r="J53" s="17">
        <v>31</v>
      </c>
      <c r="K53" s="14">
        <v>46022</v>
      </c>
      <c r="L53" s="4">
        <v>138.57</v>
      </c>
      <c r="M53" s="35">
        <f>L53*Лист2!N71</f>
        <v>1544.0162249999998</v>
      </c>
      <c r="O53" s="18">
        <v>31</v>
      </c>
      <c r="P53" s="14">
        <v>46022</v>
      </c>
      <c r="Q53" s="3">
        <v>1163.95</v>
      </c>
      <c r="R53" s="15">
        <v>14.879190864500229</v>
      </c>
      <c r="T53" s="18">
        <v>31</v>
      </c>
      <c r="U53" s="14">
        <v>46022</v>
      </c>
      <c r="V53" s="3">
        <v>852.07</v>
      </c>
      <c r="W53" s="35">
        <v>10.892316817659445</v>
      </c>
      <c r="Y53" s="18">
        <v>31</v>
      </c>
      <c r="Z53" s="14">
        <v>46022</v>
      </c>
      <c r="AA53" s="49">
        <v>1209.48</v>
      </c>
      <c r="AC53" s="18">
        <v>31</v>
      </c>
      <c r="AD53" s="68">
        <v>46022</v>
      </c>
      <c r="AE53" s="25">
        <v>1320.76</v>
      </c>
      <c r="AF53" s="2"/>
      <c r="AG53" s="18">
        <v>31</v>
      </c>
      <c r="AH53" s="14">
        <v>46022</v>
      </c>
      <c r="AI53" s="29">
        <v>1129.1500000000001</v>
      </c>
      <c r="AJ53" s="2"/>
      <c r="AK53" s="13" t="s">
        <v>16</v>
      </c>
      <c r="AL53" s="14">
        <v>46041</v>
      </c>
      <c r="AM53" s="38">
        <v>1000</v>
      </c>
      <c r="AN53" s="59">
        <v>8.5873765564620008E-2</v>
      </c>
      <c r="AO53" s="2"/>
      <c r="AP53" s="2"/>
      <c r="AQ53" s="7"/>
      <c r="AR53" s="2"/>
      <c r="AS53" s="2"/>
      <c r="AT53" s="2"/>
      <c r="AU53" s="2"/>
    </row>
    <row r="54" spans="1:47" s="1" customFormat="1" x14ac:dyDescent="0.25">
      <c r="A54" s="17">
        <v>31</v>
      </c>
      <c r="B54" s="14">
        <v>46053</v>
      </c>
      <c r="C54" s="25">
        <v>2117.87</v>
      </c>
      <c r="D54" s="4"/>
      <c r="E54" s="18">
        <v>31</v>
      </c>
      <c r="F54" s="30">
        <v>46053</v>
      </c>
      <c r="G54" s="4">
        <v>1390.81</v>
      </c>
      <c r="H54" s="29">
        <v>18.364722240194791</v>
      </c>
      <c r="I54" s="19"/>
      <c r="J54" s="17">
        <v>31</v>
      </c>
      <c r="K54" s="14">
        <v>46053</v>
      </c>
      <c r="L54" s="4">
        <v>133.75</v>
      </c>
      <c r="M54" s="35">
        <f>L54*Лист2!N72</f>
        <v>1462.69</v>
      </c>
      <c r="O54" s="18">
        <v>31</v>
      </c>
      <c r="P54" s="14">
        <v>46053</v>
      </c>
      <c r="Q54" s="3">
        <v>1155.67</v>
      </c>
      <c r="R54" s="15">
        <v>15.259854725897798</v>
      </c>
      <c r="T54" s="18">
        <v>31</v>
      </c>
      <c r="U54" s="14">
        <v>46053</v>
      </c>
      <c r="V54" s="3">
        <v>842.48</v>
      </c>
      <c r="W54" s="35">
        <v>11.124388804307783</v>
      </c>
      <c r="Y54" s="18">
        <v>31</v>
      </c>
      <c r="Z54" s="14">
        <v>46053</v>
      </c>
      <c r="AA54" s="49">
        <v>1334.15</v>
      </c>
      <c r="AC54" s="18">
        <v>31</v>
      </c>
      <c r="AD54" s="68">
        <v>46053</v>
      </c>
      <c r="AE54" s="25">
        <v>1409.35</v>
      </c>
      <c r="AF54" s="2"/>
      <c r="AG54" s="18">
        <v>31</v>
      </c>
      <c r="AH54" s="14">
        <v>46053</v>
      </c>
      <c r="AI54" s="29">
        <v>1129.5899999999999</v>
      </c>
      <c r="AJ54" s="2"/>
      <c r="AK54" s="18">
        <v>12</v>
      </c>
      <c r="AL54" s="14">
        <v>46053</v>
      </c>
      <c r="AM54" s="38">
        <v>1031.6300000000001</v>
      </c>
      <c r="AN54" s="59">
        <v>8.4146003262642752E-2</v>
      </c>
      <c r="AO54" s="21"/>
      <c r="AP54" s="2"/>
      <c r="AQ54" s="7"/>
      <c r="AR54" s="2"/>
      <c r="AS54" s="2"/>
      <c r="AT54" s="2"/>
      <c r="AU54" s="2"/>
    </row>
    <row r="55" spans="1:47" s="1" customFormat="1" x14ac:dyDescent="0.25">
      <c r="A55" s="17">
        <v>28</v>
      </c>
      <c r="B55" s="14">
        <v>46081</v>
      </c>
      <c r="C55" s="25">
        <v>2185.54</v>
      </c>
      <c r="D55" s="4"/>
      <c r="E55" s="18">
        <v>28</v>
      </c>
      <c r="F55" s="30">
        <v>46081</v>
      </c>
      <c r="G55" s="4">
        <v>1407.51</v>
      </c>
      <c r="H55" s="29">
        <v>18.288851351351354</v>
      </c>
      <c r="I55" s="19"/>
      <c r="J55" s="17">
        <v>28</v>
      </c>
      <c r="K55" s="14">
        <v>46081</v>
      </c>
      <c r="L55" s="4">
        <v>135.18</v>
      </c>
      <c r="M55" s="35">
        <f>L55*Лист2!N73</f>
        <v>1514.3539500000002</v>
      </c>
      <c r="O55" s="18">
        <v>28</v>
      </c>
      <c r="P55" s="14">
        <v>46081</v>
      </c>
      <c r="Q55" s="3">
        <v>1114.31</v>
      </c>
      <c r="R55" s="15">
        <v>14.479080041580042</v>
      </c>
      <c r="T55" s="18">
        <v>28</v>
      </c>
      <c r="U55" s="14">
        <v>46081</v>
      </c>
      <c r="V55" s="3">
        <v>837.92</v>
      </c>
      <c r="W55" s="35">
        <v>10.887733887733889</v>
      </c>
      <c r="Y55" s="18">
        <v>28</v>
      </c>
      <c r="Z55" s="14">
        <v>46081</v>
      </c>
      <c r="AA55" s="49">
        <v>1396.38</v>
      </c>
      <c r="AC55" s="18">
        <v>28</v>
      </c>
      <c r="AD55" s="68">
        <v>46081</v>
      </c>
      <c r="AE55" s="25">
        <v>1463.53</v>
      </c>
      <c r="AG55" s="18">
        <v>28</v>
      </c>
      <c r="AH55" s="14">
        <v>46081</v>
      </c>
      <c r="AI55" s="29">
        <v>1148.8499999999999</v>
      </c>
      <c r="AK55" s="18">
        <v>28</v>
      </c>
      <c r="AL55" s="14">
        <v>46081</v>
      </c>
      <c r="AM55" s="38">
        <v>1089.32</v>
      </c>
      <c r="AN55" s="59">
        <v>8.3800292330179244E-2</v>
      </c>
      <c r="AO55" s="20"/>
    </row>
    <row r="56" spans="1:47" s="1" customFormat="1" x14ac:dyDescent="0.25">
      <c r="A56" s="17">
        <v>31</v>
      </c>
      <c r="B56" s="14">
        <v>46112</v>
      </c>
      <c r="C56" s="25">
        <v>2204.25</v>
      </c>
      <c r="D56" s="4"/>
      <c r="E56" s="18">
        <v>31</v>
      </c>
      <c r="F56" s="30">
        <v>46112</v>
      </c>
      <c r="G56" s="4">
        <v>1466.68</v>
      </c>
      <c r="H56" s="29">
        <v>18.127301940427635</v>
      </c>
      <c r="I56" s="19"/>
      <c r="J56" s="17">
        <v>31</v>
      </c>
      <c r="K56" s="14">
        <v>46112</v>
      </c>
      <c r="L56" s="4">
        <v>134.97999999999999</v>
      </c>
      <c r="M56" s="35">
        <f>L56*Лист2!N74</f>
        <v>1585.0701399999998</v>
      </c>
      <c r="O56" s="18">
        <v>31</v>
      </c>
      <c r="P56" s="14">
        <v>46112</v>
      </c>
      <c r="Q56" s="3">
        <v>1169.23</v>
      </c>
      <c r="R56" s="15">
        <v>14.450994932641207</v>
      </c>
      <c r="T56" s="18">
        <v>31</v>
      </c>
      <c r="U56" s="14">
        <v>46112</v>
      </c>
      <c r="V56" s="3">
        <v>878.45</v>
      </c>
      <c r="W56" s="35">
        <v>10.857125200840441</v>
      </c>
      <c r="Y56" s="18">
        <v>31</v>
      </c>
      <c r="Z56" s="14">
        <v>46112</v>
      </c>
      <c r="AA56" s="49">
        <v>1296.72</v>
      </c>
      <c r="AC56" s="18">
        <v>31</v>
      </c>
      <c r="AD56" s="68">
        <v>46112</v>
      </c>
      <c r="AE56" s="25">
        <v>1372.39</v>
      </c>
      <c r="AG56" s="18">
        <v>31</v>
      </c>
      <c r="AH56" s="14">
        <v>46112</v>
      </c>
      <c r="AI56" s="29">
        <v>1162.8</v>
      </c>
      <c r="AK56" s="18">
        <v>31</v>
      </c>
      <c r="AL56" s="14">
        <v>46112</v>
      </c>
      <c r="AM56" s="38">
        <v>992.83</v>
      </c>
      <c r="AN56" s="59">
        <v>8.3438104042356506E-2</v>
      </c>
      <c r="AO56" s="20"/>
    </row>
    <row r="57" spans="1:47" s="1" customFormat="1" ht="15.75" thickBot="1" x14ac:dyDescent="0.3">
      <c r="A57" s="26">
        <v>30</v>
      </c>
      <c r="B57" s="27">
        <v>46142</v>
      </c>
      <c r="C57" s="28">
        <v>2226.35</v>
      </c>
      <c r="D57" s="4"/>
      <c r="E57" s="31">
        <v>30</v>
      </c>
      <c r="F57" s="32">
        <v>46142</v>
      </c>
      <c r="G57" s="33">
        <v>1385.9</v>
      </c>
      <c r="H57" s="34">
        <v>18.484211930245738</v>
      </c>
      <c r="I57" s="19"/>
      <c r="J57" s="26">
        <v>30</v>
      </c>
      <c r="K57" s="27">
        <v>46142</v>
      </c>
      <c r="L57" s="33">
        <v>136.81</v>
      </c>
      <c r="M57" s="36">
        <f>L57*Лист2!N75</f>
        <v>1501.8317749999999</v>
      </c>
      <c r="O57" s="31">
        <v>30</v>
      </c>
      <c r="P57" s="27">
        <v>46142</v>
      </c>
      <c r="Q57" s="45">
        <v>1088.27</v>
      </c>
      <c r="R57" s="37">
        <v>14.514621052982561</v>
      </c>
      <c r="T57" s="31">
        <v>30</v>
      </c>
      <c r="U57" s="27">
        <v>46142</v>
      </c>
      <c r="V57" s="45">
        <v>824.36</v>
      </c>
      <c r="W57" s="36">
        <v>10.994765096195525</v>
      </c>
      <c r="Y57" s="31">
        <v>30</v>
      </c>
      <c r="Z57" s="27">
        <v>46142</v>
      </c>
      <c r="AA57" s="57">
        <v>1285.1400000000001</v>
      </c>
      <c r="AC57" s="31">
        <v>30</v>
      </c>
      <c r="AD57" s="27">
        <v>46142</v>
      </c>
      <c r="AE57" s="28">
        <v>1348.53</v>
      </c>
      <c r="AG57" s="31">
        <v>30</v>
      </c>
      <c r="AH57" s="27">
        <v>46142</v>
      </c>
      <c r="AI57" s="34">
        <v>1176.73</v>
      </c>
      <c r="AK57" s="31">
        <v>30</v>
      </c>
      <c r="AL57" s="27">
        <v>46142</v>
      </c>
      <c r="AM57" s="39">
        <v>924.75</v>
      </c>
      <c r="AN57" s="60">
        <v>8.3461191335740079E-2</v>
      </c>
      <c r="AO57" s="20"/>
    </row>
  </sheetData>
  <mergeCells count="9">
    <mergeCell ref="AD1:AE1"/>
    <mergeCell ref="AH1:AI1"/>
    <mergeCell ref="AL1:AN1"/>
    <mergeCell ref="B1:C1"/>
    <mergeCell ref="F1:H1"/>
    <mergeCell ref="K1:M1"/>
    <mergeCell ref="P1:R1"/>
    <mergeCell ref="U1:W1"/>
    <mergeCell ref="Z1:AA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showGridLines="0" workbookViewId="0">
      <selection activeCell="L14" sqref="L14"/>
    </sheetView>
  </sheetViews>
  <sheetFormatPr defaultColWidth="13.42578125" defaultRowHeight="15" x14ac:dyDescent="0.25"/>
  <cols>
    <col min="3" max="4" width="13.42578125" style="40"/>
    <col min="5" max="6" width="14.7109375" style="40" bestFit="1" customWidth="1"/>
    <col min="7" max="8" width="10.85546875" style="40" customWidth="1"/>
    <col min="9" max="14" width="13.42578125" style="40"/>
  </cols>
  <sheetData>
    <row r="1" spans="1:14" s="24" customFormat="1" x14ac:dyDescent="0.25">
      <c r="A1" s="24" t="s">
        <v>23</v>
      </c>
      <c r="B1" s="24">
        <v>182495</v>
      </c>
      <c r="C1" s="40">
        <v>1601</v>
      </c>
      <c r="D1" s="40">
        <v>18085</v>
      </c>
      <c r="E1" s="40">
        <v>98888</v>
      </c>
      <c r="F1" s="40"/>
      <c r="G1" s="40">
        <v>94292</v>
      </c>
      <c r="H1" s="40"/>
      <c r="I1" s="40">
        <v>8833</v>
      </c>
      <c r="J1" s="40">
        <v>37639</v>
      </c>
      <c r="K1" s="40">
        <v>43763</v>
      </c>
      <c r="L1" s="40">
        <v>29903</v>
      </c>
      <c r="M1" s="40">
        <v>39</v>
      </c>
      <c r="N1" s="40">
        <v>8195</v>
      </c>
    </row>
    <row r="2" spans="1:14" s="23" customFormat="1" ht="30" x14ac:dyDescent="0.25">
      <c r="A2" s="23" t="s">
        <v>10</v>
      </c>
      <c r="B2" s="46" t="s">
        <v>32</v>
      </c>
      <c r="C2" s="41" t="s">
        <v>17</v>
      </c>
      <c r="D2" s="41" t="s">
        <v>18</v>
      </c>
      <c r="E2" s="41" t="s">
        <v>26</v>
      </c>
      <c r="F2" s="41" t="s">
        <v>27</v>
      </c>
      <c r="G2" s="41" t="s">
        <v>28</v>
      </c>
      <c r="H2" s="41" t="s">
        <v>29</v>
      </c>
      <c r="I2" s="41" t="s">
        <v>22</v>
      </c>
      <c r="J2" s="41" t="s">
        <v>19</v>
      </c>
      <c r="K2" s="41" t="s">
        <v>20</v>
      </c>
      <c r="L2" s="41" t="s">
        <v>21</v>
      </c>
      <c r="M2" s="41" t="s">
        <v>24</v>
      </c>
      <c r="N2" s="41" t="s">
        <v>25</v>
      </c>
    </row>
    <row r="3" spans="1:14" s="23" customFormat="1" x14ac:dyDescent="0.25">
      <c r="A3" s="22">
        <v>44196</v>
      </c>
      <c r="B3" s="48"/>
      <c r="C3" s="48"/>
      <c r="D3" s="48"/>
      <c r="E3" s="48"/>
      <c r="F3" s="48"/>
      <c r="G3" s="48"/>
      <c r="H3" s="48"/>
      <c r="I3" s="48"/>
      <c r="J3" s="48">
        <v>4.91</v>
      </c>
      <c r="K3" s="48">
        <v>1.4</v>
      </c>
      <c r="L3" s="48">
        <v>0.2</v>
      </c>
      <c r="M3" s="48"/>
      <c r="N3" s="48"/>
    </row>
    <row r="4" spans="1:14" s="23" customFormat="1" x14ac:dyDescent="0.25">
      <c r="A4" s="22">
        <v>44227</v>
      </c>
      <c r="B4" s="48"/>
      <c r="C4" s="48"/>
      <c r="D4" s="48"/>
      <c r="E4" s="48"/>
      <c r="F4" s="48"/>
      <c r="G4" s="48"/>
      <c r="H4" s="48"/>
      <c r="I4" s="48"/>
      <c r="J4" s="48">
        <v>5.19</v>
      </c>
      <c r="K4" s="48">
        <v>1.4</v>
      </c>
      <c r="L4" s="48">
        <v>-0.3</v>
      </c>
      <c r="M4" s="48"/>
      <c r="N4" s="48"/>
    </row>
    <row r="5" spans="1:14" s="23" customFormat="1" x14ac:dyDescent="0.25">
      <c r="A5" s="22">
        <v>44255</v>
      </c>
      <c r="B5" s="48"/>
      <c r="C5" s="48"/>
      <c r="D5" s="48"/>
      <c r="E5" s="48"/>
      <c r="F5" s="48"/>
      <c r="G5" s="48"/>
      <c r="H5" s="48"/>
      <c r="I5" s="48"/>
      <c r="J5" s="48">
        <v>5.67</v>
      </c>
      <c r="K5" s="48">
        <v>1.7</v>
      </c>
      <c r="L5" s="48">
        <v>-0.2</v>
      </c>
      <c r="M5" s="48"/>
      <c r="N5" s="48"/>
    </row>
    <row r="6" spans="1:14" s="23" customFormat="1" x14ac:dyDescent="0.25">
      <c r="A6" s="22">
        <v>44286</v>
      </c>
      <c r="B6" s="48"/>
      <c r="C6" s="48"/>
      <c r="D6" s="48"/>
      <c r="E6" s="48"/>
      <c r="F6" s="48"/>
      <c r="G6" s="48"/>
      <c r="H6" s="48"/>
      <c r="I6" s="48"/>
      <c r="J6" s="48">
        <v>5.79</v>
      </c>
      <c r="K6" s="48">
        <v>2.6</v>
      </c>
      <c r="L6" s="48">
        <v>0.4</v>
      </c>
      <c r="M6" s="48"/>
      <c r="N6" s="48"/>
    </row>
    <row r="7" spans="1:14" s="23" customFormat="1" x14ac:dyDescent="0.25">
      <c r="A7" s="22">
        <v>44316</v>
      </c>
      <c r="B7" s="48"/>
      <c r="C7" s="48"/>
      <c r="D7" s="48"/>
      <c r="E7" s="48"/>
      <c r="F7" s="48"/>
      <c r="G7" s="48"/>
      <c r="H7" s="48"/>
      <c r="I7" s="48"/>
      <c r="J7" s="48">
        <v>5.53</v>
      </c>
      <c r="K7" s="48">
        <v>4.2</v>
      </c>
      <c r="L7" s="48">
        <v>0.9</v>
      </c>
      <c r="M7" s="48"/>
      <c r="N7" s="48"/>
    </row>
    <row r="8" spans="1:14" s="23" customFormat="1" x14ac:dyDescent="0.25">
      <c r="A8" s="22">
        <v>44347</v>
      </c>
      <c r="B8" s="48"/>
      <c r="C8" s="48"/>
      <c r="D8" s="48"/>
      <c r="E8" s="48"/>
      <c r="F8" s="48"/>
      <c r="G8" s="48"/>
      <c r="H8" s="48"/>
      <c r="I8" s="48"/>
      <c r="J8" s="48">
        <v>6.02</v>
      </c>
      <c r="K8" s="48">
        <v>5</v>
      </c>
      <c r="L8" s="48">
        <v>1.3</v>
      </c>
      <c r="M8" s="48"/>
      <c r="N8" s="48"/>
    </row>
    <row r="9" spans="1:14" s="23" customFormat="1" x14ac:dyDescent="0.25">
      <c r="A9" s="22">
        <v>44377</v>
      </c>
      <c r="B9" s="48"/>
      <c r="C9" s="48"/>
      <c r="D9" s="48"/>
      <c r="E9" s="48"/>
      <c r="F9" s="48"/>
      <c r="G9" s="48"/>
      <c r="H9" s="48"/>
      <c r="I9" s="48"/>
      <c r="J9" s="48">
        <v>6.5</v>
      </c>
      <c r="K9" s="48">
        <v>5.4</v>
      </c>
      <c r="L9" s="48">
        <v>1.1000000000000001</v>
      </c>
      <c r="M9" s="48"/>
      <c r="N9" s="48"/>
    </row>
    <row r="10" spans="1:14" s="23" customFormat="1" x14ac:dyDescent="0.25">
      <c r="A10" s="22">
        <v>44408</v>
      </c>
      <c r="B10" s="48"/>
      <c r="C10" s="48"/>
      <c r="D10" s="48"/>
      <c r="E10" s="48"/>
      <c r="F10" s="48"/>
      <c r="G10" s="48"/>
      <c r="H10" s="48"/>
      <c r="I10" s="48"/>
      <c r="J10" s="48">
        <v>6.5</v>
      </c>
      <c r="K10" s="48">
        <v>5.4</v>
      </c>
      <c r="L10" s="48">
        <v>1</v>
      </c>
      <c r="M10" s="48"/>
      <c r="N10" s="48"/>
    </row>
    <row r="11" spans="1:14" s="23" customFormat="1" x14ac:dyDescent="0.25">
      <c r="A11" s="22">
        <v>44439</v>
      </c>
      <c r="B11" s="48"/>
      <c r="C11" s="48"/>
      <c r="D11" s="48"/>
      <c r="E11" s="48"/>
      <c r="F11" s="48"/>
      <c r="G11" s="48"/>
      <c r="H11" s="48"/>
      <c r="I11" s="48"/>
      <c r="J11" s="48">
        <v>6.68</v>
      </c>
      <c r="K11" s="48">
        <v>5.3</v>
      </c>
      <c r="L11" s="48">
        <v>0.8</v>
      </c>
      <c r="M11" s="48"/>
      <c r="N11" s="48"/>
    </row>
    <row r="12" spans="1:14" s="23" customFormat="1" x14ac:dyDescent="0.25">
      <c r="A12" s="22">
        <v>44469</v>
      </c>
      <c r="B12" s="48"/>
      <c r="C12" s="48"/>
      <c r="D12" s="48"/>
      <c r="E12" s="48"/>
      <c r="F12" s="48"/>
      <c r="G12" s="48"/>
      <c r="H12" s="48"/>
      <c r="I12" s="48"/>
      <c r="J12" s="48">
        <v>7.4</v>
      </c>
      <c r="K12" s="48">
        <v>5.4</v>
      </c>
      <c r="L12" s="48">
        <v>0.7</v>
      </c>
      <c r="M12" s="48"/>
      <c r="N12" s="48"/>
    </row>
    <row r="13" spans="1:14" s="23" customFormat="1" x14ac:dyDescent="0.25">
      <c r="A13" s="22">
        <v>44500</v>
      </c>
      <c r="B13" s="48"/>
      <c r="C13" s="48"/>
      <c r="D13" s="48"/>
      <c r="E13" s="48"/>
      <c r="F13" s="48"/>
      <c r="G13" s="48"/>
      <c r="H13" s="48"/>
      <c r="I13" s="48"/>
      <c r="J13" s="48">
        <v>8.1300000000000008</v>
      </c>
      <c r="K13" s="48">
        <v>6.2</v>
      </c>
      <c r="L13" s="48">
        <v>1.5</v>
      </c>
      <c r="M13" s="48"/>
      <c r="N13" s="48"/>
    </row>
    <row r="14" spans="1:14" s="23" customFormat="1" x14ac:dyDescent="0.25">
      <c r="A14" s="22">
        <v>44530</v>
      </c>
      <c r="B14" s="48"/>
      <c r="C14" s="48"/>
      <c r="D14" s="48"/>
      <c r="E14" s="48"/>
      <c r="F14" s="48"/>
      <c r="G14" s="48"/>
      <c r="H14" s="48"/>
      <c r="I14" s="48"/>
      <c r="J14" s="48">
        <v>8.4</v>
      </c>
      <c r="K14" s="48">
        <v>6.8</v>
      </c>
      <c r="L14" s="48">
        <v>2.2999999999999998</v>
      </c>
      <c r="M14" s="48"/>
      <c r="N14" s="48"/>
    </row>
    <row r="15" spans="1:14" x14ac:dyDescent="0.25">
      <c r="A15" s="22">
        <v>44561</v>
      </c>
      <c r="B15" s="47">
        <v>1282.06</v>
      </c>
      <c r="C15" s="40">
        <v>589.78</v>
      </c>
      <c r="D15" s="40">
        <v>7250.04</v>
      </c>
      <c r="E15" s="40">
        <v>109.71427866524611</v>
      </c>
      <c r="F15" s="40">
        <v>8150.9590191656625</v>
      </c>
      <c r="G15" s="40">
        <v>99.59</v>
      </c>
      <c r="H15" s="40">
        <v>1166.945825</v>
      </c>
      <c r="I15" s="40">
        <v>4357</v>
      </c>
      <c r="J15" s="40">
        <v>8.39</v>
      </c>
      <c r="K15" s="40">
        <v>7</v>
      </c>
      <c r="L15" s="40">
        <v>1.5</v>
      </c>
      <c r="M15" s="40">
        <v>74.292599999999993</v>
      </c>
      <c r="N15" s="40">
        <v>11.717499999999999</v>
      </c>
    </row>
    <row r="16" spans="1:14" x14ac:dyDescent="0.25">
      <c r="A16" s="22">
        <v>44592</v>
      </c>
      <c r="B16" s="47">
        <v>1291.79</v>
      </c>
      <c r="C16" s="40">
        <v>564.69000000000005</v>
      </c>
      <c r="D16" s="40">
        <v>6794.02</v>
      </c>
      <c r="E16" s="40">
        <v>101.29869479035509</v>
      </c>
      <c r="F16" s="40">
        <v>7882.8010519789786</v>
      </c>
      <c r="G16" s="40">
        <v>99.59</v>
      </c>
      <c r="H16" s="40">
        <v>1218.7326250000001</v>
      </c>
      <c r="I16" s="40">
        <v>4473.5</v>
      </c>
      <c r="J16" s="40">
        <v>8.73</v>
      </c>
      <c r="K16" s="40">
        <v>7.5</v>
      </c>
      <c r="L16" s="40">
        <v>0.9</v>
      </c>
      <c r="M16" s="40">
        <v>77.817400000000006</v>
      </c>
      <c r="N16" s="40">
        <v>12.237500000000001</v>
      </c>
    </row>
    <row r="17" spans="1:14" x14ac:dyDescent="0.25">
      <c r="A17" s="22">
        <v>44620</v>
      </c>
      <c r="B17" s="47">
        <v>1300.82</v>
      </c>
      <c r="C17" s="40">
        <v>479.03</v>
      </c>
      <c r="D17" s="40">
        <v>4754.32</v>
      </c>
      <c r="E17" s="40">
        <v>101.29869479035509</v>
      </c>
      <c r="F17" s="40">
        <v>8463.3540016919815</v>
      </c>
      <c r="G17" s="40">
        <v>99.59</v>
      </c>
      <c r="H17" s="40">
        <v>1355.1310890000002</v>
      </c>
      <c r="I17" s="40">
        <v>5075.5</v>
      </c>
      <c r="J17" s="40">
        <v>9.15</v>
      </c>
      <c r="K17" s="40">
        <v>7.9</v>
      </c>
      <c r="L17" s="40">
        <v>0.9</v>
      </c>
      <c r="M17" s="40">
        <v>83.548500000000004</v>
      </c>
      <c r="N17" s="40">
        <v>13.607100000000001</v>
      </c>
    </row>
    <row r="18" spans="1:14" x14ac:dyDescent="0.25">
      <c r="A18" s="22">
        <v>44651</v>
      </c>
      <c r="B18" s="47">
        <v>1322.45</v>
      </c>
      <c r="C18" s="40">
        <v>519.32000000000005</v>
      </c>
      <c r="D18" s="40">
        <v>5202.78</v>
      </c>
      <c r="E18" s="40">
        <v>101.29869479035509</v>
      </c>
      <c r="F18" s="40">
        <v>8517.7108813164868</v>
      </c>
      <c r="G18" s="40">
        <v>99.59</v>
      </c>
      <c r="H18" s="40">
        <v>1341.4773</v>
      </c>
      <c r="I18" s="40">
        <v>5030.01</v>
      </c>
      <c r="J18" s="40">
        <v>16.690000000000001</v>
      </c>
      <c r="K18" s="40">
        <v>8.5</v>
      </c>
      <c r="L18" s="40">
        <v>1.5</v>
      </c>
      <c r="M18" s="40">
        <v>84.085099999999997</v>
      </c>
      <c r="N18" s="40">
        <v>13.47</v>
      </c>
    </row>
    <row r="19" spans="1:14" x14ac:dyDescent="0.25">
      <c r="A19" s="22">
        <v>44681</v>
      </c>
      <c r="B19" s="47">
        <v>1340.79</v>
      </c>
      <c r="C19" s="40">
        <v>563.04</v>
      </c>
      <c r="D19" s="40">
        <v>4705.62</v>
      </c>
      <c r="E19" s="40">
        <v>90.584409764452133</v>
      </c>
      <c r="F19" s="40">
        <v>6433.6399437875198</v>
      </c>
      <c r="G19" s="40">
        <v>99.59</v>
      </c>
      <c r="H19" s="40">
        <v>1081.5473999999999</v>
      </c>
      <c r="I19" s="40">
        <v>4250</v>
      </c>
      <c r="J19" s="40">
        <v>17.829999999999998</v>
      </c>
      <c r="K19" s="40">
        <v>8.3000000000000007</v>
      </c>
      <c r="L19" s="40">
        <v>2.1</v>
      </c>
      <c r="M19" s="40">
        <v>71.023700000000005</v>
      </c>
      <c r="N19" s="40">
        <v>10.86</v>
      </c>
    </row>
    <row r="20" spans="1:14" x14ac:dyDescent="0.25">
      <c r="A20" s="22">
        <v>44686</v>
      </c>
      <c r="B20" s="47">
        <v>1344.34</v>
      </c>
      <c r="C20" s="58">
        <v>560.1</v>
      </c>
      <c r="D20" s="58">
        <v>4638.93</v>
      </c>
      <c r="E20" s="40">
        <v>90.584409764452133</v>
      </c>
      <c r="F20" s="40">
        <v>6288.0073882092092</v>
      </c>
      <c r="G20" s="40">
        <v>99.59</v>
      </c>
      <c r="H20" s="40">
        <v>1019.3235680000001</v>
      </c>
      <c r="I20" s="58">
        <v>4050</v>
      </c>
      <c r="M20" s="58">
        <v>69.415999999999997</v>
      </c>
      <c r="N20" s="58">
        <v>10.235200000000001</v>
      </c>
    </row>
    <row r="21" spans="1:14" x14ac:dyDescent="0.25">
      <c r="A21" s="22">
        <v>44712</v>
      </c>
      <c r="B21" s="47">
        <v>1357.17</v>
      </c>
      <c r="C21" s="40">
        <v>579.27</v>
      </c>
      <c r="D21" s="40">
        <v>4544.33</v>
      </c>
      <c r="E21" s="40">
        <v>95.917201629617466</v>
      </c>
      <c r="F21" s="40">
        <v>6052.1356298247874</v>
      </c>
      <c r="G21" s="40">
        <v>99.59</v>
      </c>
      <c r="H21" s="40">
        <v>943.55549599999995</v>
      </c>
      <c r="I21" s="40">
        <v>3529.84</v>
      </c>
      <c r="J21" s="40">
        <v>17.100000000000001</v>
      </c>
      <c r="K21" s="40">
        <v>8.6</v>
      </c>
      <c r="L21" s="40">
        <v>2.1</v>
      </c>
      <c r="M21" s="40">
        <v>63.097499999999997</v>
      </c>
      <c r="N21" s="40">
        <v>9.4743999999999993</v>
      </c>
    </row>
    <row r="22" spans="1:14" x14ac:dyDescent="0.25">
      <c r="A22" s="22">
        <v>44742</v>
      </c>
      <c r="B22" s="47">
        <v>1368.19</v>
      </c>
      <c r="C22" s="40">
        <v>607.78</v>
      </c>
      <c r="D22" s="40">
        <v>4256.3</v>
      </c>
      <c r="E22" s="40">
        <v>106.09779951330215</v>
      </c>
      <c r="F22" s="40">
        <v>5427.7512275015115</v>
      </c>
      <c r="G22" s="40">
        <v>99.59</v>
      </c>
      <c r="H22" s="40">
        <v>816.94672899999989</v>
      </c>
      <c r="I22" s="40">
        <v>2999.3</v>
      </c>
      <c r="J22" s="40">
        <v>15.9</v>
      </c>
      <c r="K22" s="40">
        <v>9.1</v>
      </c>
      <c r="L22" s="40">
        <v>2.5</v>
      </c>
      <c r="M22" s="40">
        <v>51.158000000000001</v>
      </c>
      <c r="N22" s="40">
        <v>8.2030999999999992</v>
      </c>
    </row>
    <row r="23" spans="1:14" x14ac:dyDescent="0.25">
      <c r="A23" s="22">
        <v>44773</v>
      </c>
      <c r="B23" s="47">
        <v>1378.08</v>
      </c>
      <c r="C23" s="40">
        <v>618.24</v>
      </c>
      <c r="D23" s="40">
        <v>4323.46</v>
      </c>
      <c r="E23" s="40">
        <v>110.19000062341073</v>
      </c>
      <c r="F23" s="40">
        <v>6755.759957221374</v>
      </c>
      <c r="G23" s="40">
        <v>99.59</v>
      </c>
      <c r="H23" s="40">
        <v>929.16474100000005</v>
      </c>
      <c r="I23" s="40">
        <v>3428</v>
      </c>
      <c r="J23" s="40">
        <v>15.1</v>
      </c>
      <c r="K23" s="40">
        <v>8.5</v>
      </c>
      <c r="L23" s="40">
        <v>2.7</v>
      </c>
      <c r="M23" s="40">
        <v>61.310099999999998</v>
      </c>
      <c r="N23" s="40">
        <v>9.3299000000000003</v>
      </c>
    </row>
    <row r="24" spans="1:14" x14ac:dyDescent="0.25">
      <c r="A24" s="22">
        <v>44804</v>
      </c>
      <c r="B24" s="47">
        <v>1388.01</v>
      </c>
      <c r="C24" s="40">
        <v>616.73</v>
      </c>
      <c r="D24" s="40">
        <v>4687.26</v>
      </c>
      <c r="E24" s="40">
        <v>108.04409028518306</v>
      </c>
      <c r="F24" s="40">
        <v>6522.3732291088454</v>
      </c>
      <c r="G24" s="40">
        <v>99.59</v>
      </c>
      <c r="H24" s="40">
        <v>863.94325000000015</v>
      </c>
      <c r="I24" s="40">
        <v>3310</v>
      </c>
      <c r="J24" s="40">
        <v>14.3</v>
      </c>
      <c r="K24" s="40">
        <v>8.3000000000000007</v>
      </c>
      <c r="L24" s="40">
        <v>2.5</v>
      </c>
      <c r="M24" s="40">
        <v>60.367699999999999</v>
      </c>
      <c r="N24" s="40">
        <v>8.6750000000000007</v>
      </c>
    </row>
    <row r="25" spans="1:14" x14ac:dyDescent="0.25">
      <c r="A25" s="22">
        <v>44834</v>
      </c>
      <c r="B25" s="47">
        <v>1396.81</v>
      </c>
      <c r="C25" s="40">
        <v>579.01</v>
      </c>
      <c r="D25" s="40">
        <v>3832.96</v>
      </c>
      <c r="E25" s="40">
        <v>99.809783173379273</v>
      </c>
      <c r="F25" s="40">
        <v>5730.3790813332234</v>
      </c>
      <c r="G25" s="40">
        <v>99.59</v>
      </c>
      <c r="H25" s="40">
        <v>808.67079999999999</v>
      </c>
      <c r="I25" s="40">
        <v>3236</v>
      </c>
      <c r="J25" s="40">
        <v>13.68</v>
      </c>
      <c r="K25" s="40">
        <v>8.1999999999999993</v>
      </c>
      <c r="L25" s="40">
        <v>2.8</v>
      </c>
      <c r="M25" s="40">
        <v>57.412999999999997</v>
      </c>
      <c r="N25" s="40">
        <v>8.1199999999999992</v>
      </c>
    </row>
    <row r="26" spans="1:14" x14ac:dyDescent="0.25">
      <c r="A26" s="22">
        <v>44865</v>
      </c>
      <c r="B26" s="47">
        <v>1405.85</v>
      </c>
      <c r="C26" s="40">
        <v>603.16</v>
      </c>
      <c r="D26" s="40">
        <v>4429.18</v>
      </c>
      <c r="E26" s="40">
        <v>97.170912316058292</v>
      </c>
      <c r="F26" s="40">
        <v>5979.3440697300257</v>
      </c>
      <c r="G26" s="40">
        <v>99.59</v>
      </c>
      <c r="H26" s="40">
        <v>808.67079999999999</v>
      </c>
      <c r="I26" s="40">
        <v>3271</v>
      </c>
      <c r="J26" s="40">
        <v>12.63</v>
      </c>
      <c r="K26" s="40">
        <v>7.7</v>
      </c>
      <c r="L26" s="40">
        <v>2.1</v>
      </c>
      <c r="M26" s="40">
        <v>61.534300000000002</v>
      </c>
      <c r="N26" s="40">
        <v>8.4030000000000005</v>
      </c>
    </row>
    <row r="27" spans="1:14" x14ac:dyDescent="0.25">
      <c r="A27" s="22">
        <v>44895</v>
      </c>
      <c r="B27" s="47">
        <v>1414.34</v>
      </c>
      <c r="C27" s="40">
        <v>608.71</v>
      </c>
      <c r="D27" s="40">
        <v>4445.38</v>
      </c>
      <c r="E27" s="40">
        <v>102.48421432135727</v>
      </c>
      <c r="F27" s="40">
        <v>6259.1414023054376</v>
      </c>
      <c r="G27" s="40">
        <v>99.59</v>
      </c>
      <c r="H27" s="40">
        <v>843.32812000000001</v>
      </c>
      <c r="I27" s="40">
        <v>3425</v>
      </c>
      <c r="J27" s="40">
        <v>11.98</v>
      </c>
      <c r="K27" s="40">
        <v>7.1</v>
      </c>
      <c r="L27" s="40">
        <v>1.6</v>
      </c>
      <c r="M27" s="40">
        <v>61.074199999999998</v>
      </c>
      <c r="N27" s="40">
        <v>8.468</v>
      </c>
    </row>
    <row r="28" spans="1:14" x14ac:dyDescent="0.25">
      <c r="A28" s="22">
        <v>44926</v>
      </c>
      <c r="B28" s="47">
        <v>1422.55</v>
      </c>
      <c r="C28" s="40">
        <v>611.72</v>
      </c>
      <c r="D28" s="40">
        <v>4548.82</v>
      </c>
      <c r="E28" s="40">
        <v>102.4331</v>
      </c>
      <c r="F28" s="40">
        <v>7204.8881712500006</v>
      </c>
      <c r="G28" s="40">
        <v>99.67</v>
      </c>
      <c r="H28" s="40">
        <v>987.9290400000001</v>
      </c>
      <c r="I28" s="40">
        <v>4043</v>
      </c>
      <c r="J28" s="40">
        <v>11.94</v>
      </c>
      <c r="K28" s="40">
        <v>6.5</v>
      </c>
      <c r="L28" s="40">
        <v>1.8</v>
      </c>
      <c r="M28" s="40">
        <v>70.337500000000006</v>
      </c>
      <c r="N28" s="40">
        <v>9.9120000000000008</v>
      </c>
    </row>
    <row r="29" spans="1:14" x14ac:dyDescent="0.25">
      <c r="A29" s="22">
        <v>44957</v>
      </c>
      <c r="B29" s="47">
        <v>1431.6</v>
      </c>
      <c r="C29" s="40">
        <v>614.74</v>
      </c>
      <c r="D29" s="40">
        <v>4712.84</v>
      </c>
      <c r="E29" s="40">
        <v>104.5795</v>
      </c>
      <c r="F29" s="40">
        <v>7277.9697696499989</v>
      </c>
      <c r="G29" s="40">
        <v>99.6</v>
      </c>
      <c r="H29" s="40">
        <v>1036.338</v>
      </c>
      <c r="I29" s="40">
        <v>4273.51</v>
      </c>
      <c r="J29" s="40">
        <v>11.77</v>
      </c>
      <c r="K29" s="40">
        <v>6.4</v>
      </c>
      <c r="L29" s="40">
        <v>2.1</v>
      </c>
      <c r="M29" s="40">
        <v>69.592699999999994</v>
      </c>
      <c r="N29" s="40">
        <v>10.404999999999999</v>
      </c>
    </row>
    <row r="30" spans="1:14" x14ac:dyDescent="0.25">
      <c r="A30" s="22">
        <v>44985</v>
      </c>
      <c r="B30" s="47">
        <v>1439.4</v>
      </c>
      <c r="C30" s="40">
        <v>611.99</v>
      </c>
      <c r="D30" s="40">
        <v>4771.2</v>
      </c>
      <c r="E30" s="40">
        <v>100.6713</v>
      </c>
      <c r="F30" s="40">
        <v>7593.86770299</v>
      </c>
      <c r="G30" s="40">
        <v>99.79</v>
      </c>
      <c r="H30" s="40">
        <v>1068.7509000000002</v>
      </c>
      <c r="I30" s="40">
        <v>4373.99</v>
      </c>
      <c r="J30" s="40">
        <v>10.99</v>
      </c>
      <c r="K30" s="40">
        <v>6</v>
      </c>
      <c r="L30" s="40">
        <v>1</v>
      </c>
      <c r="M30" s="40">
        <v>75.432299999999998</v>
      </c>
      <c r="N30" s="40">
        <v>10.71</v>
      </c>
    </row>
    <row r="31" spans="1:14" x14ac:dyDescent="0.25">
      <c r="A31" s="22">
        <v>45016</v>
      </c>
      <c r="B31" s="47">
        <v>1448.39</v>
      </c>
      <c r="C31" s="40">
        <v>617.39</v>
      </c>
      <c r="D31" s="40">
        <v>5189.4399999999996</v>
      </c>
      <c r="E31" s="40">
        <v>103.2963</v>
      </c>
      <c r="F31" s="40">
        <v>7962.7295706899995</v>
      </c>
      <c r="G31" s="40">
        <v>99.42</v>
      </c>
      <c r="H31" s="40">
        <v>1112.7086400000001</v>
      </c>
      <c r="I31" s="40">
        <v>4940.0200000000004</v>
      </c>
      <c r="J31" s="40">
        <v>3.51</v>
      </c>
      <c r="K31" s="40">
        <v>5</v>
      </c>
      <c r="L31" s="40">
        <v>0.7</v>
      </c>
      <c r="M31" s="40">
        <v>77.086299999999994</v>
      </c>
      <c r="N31" s="40">
        <v>11.192</v>
      </c>
    </row>
    <row r="32" spans="1:14" x14ac:dyDescent="0.25">
      <c r="A32" s="22">
        <v>45035</v>
      </c>
      <c r="B32" s="47">
        <v>1453.81</v>
      </c>
      <c r="C32" s="58">
        <v>618.99</v>
      </c>
      <c r="D32" s="58">
        <v>5525.66</v>
      </c>
      <c r="E32" s="58">
        <v>98.779200000000003</v>
      </c>
      <c r="F32" s="40">
        <v>8060.6593017600007</v>
      </c>
      <c r="G32" s="58">
        <v>98.4</v>
      </c>
      <c r="H32" s="40">
        <v>1166.5320000000002</v>
      </c>
      <c r="I32" s="58">
        <v>5215.01</v>
      </c>
      <c r="M32" s="58">
        <v>81.602800000000002</v>
      </c>
      <c r="N32" s="58">
        <v>11.855</v>
      </c>
    </row>
    <row r="33" spans="1:14" x14ac:dyDescent="0.25">
      <c r="A33" s="22">
        <v>45046</v>
      </c>
      <c r="B33" s="47">
        <v>1456.35</v>
      </c>
      <c r="C33" s="40">
        <v>623.42999999999995</v>
      </c>
      <c r="D33" s="40">
        <v>5585.84</v>
      </c>
      <c r="E33" s="40">
        <v>98.785799999999995</v>
      </c>
      <c r="F33" s="40">
        <v>7953.1756079399993</v>
      </c>
      <c r="G33" s="40">
        <v>98.27</v>
      </c>
      <c r="H33" s="40">
        <v>1138.5562199999999</v>
      </c>
      <c r="I33" s="40">
        <v>5157</v>
      </c>
      <c r="J33" s="40">
        <v>2.31</v>
      </c>
      <c r="K33" s="40">
        <v>4.9000000000000004</v>
      </c>
      <c r="L33" s="40">
        <v>0.1</v>
      </c>
      <c r="M33" s="40">
        <v>80.509299999999996</v>
      </c>
      <c r="N33" s="40">
        <v>11.586</v>
      </c>
    </row>
    <row r="34" spans="1:14" x14ac:dyDescent="0.25">
      <c r="A34" s="22">
        <v>45077</v>
      </c>
      <c r="B34" s="47">
        <v>1465.81</v>
      </c>
      <c r="C34" s="40">
        <v>628.53</v>
      </c>
      <c r="D34" s="40">
        <v>5885.95</v>
      </c>
      <c r="E34" s="40">
        <v>99.787000000000006</v>
      </c>
      <c r="F34" s="40">
        <v>8051.5336264000007</v>
      </c>
      <c r="G34" s="40">
        <v>99.14</v>
      </c>
      <c r="H34" s="40">
        <v>1128.1140599999999</v>
      </c>
      <c r="I34" s="40">
        <v>5110.01</v>
      </c>
      <c r="J34" s="40">
        <v>2.5099999999999998</v>
      </c>
      <c r="K34" s="40">
        <v>4.0999999999999996</v>
      </c>
      <c r="L34" s="40">
        <v>0.2</v>
      </c>
      <c r="M34" s="40">
        <v>80.687200000000004</v>
      </c>
      <c r="N34" s="40">
        <v>11.379</v>
      </c>
    </row>
    <row r="35" spans="1:14" x14ac:dyDescent="0.25">
      <c r="A35" s="22">
        <v>45107</v>
      </c>
      <c r="B35" s="47">
        <v>1474.54</v>
      </c>
      <c r="C35" s="40">
        <v>626.37</v>
      </c>
      <c r="D35" s="40">
        <v>6151.53</v>
      </c>
      <c r="E35" s="40">
        <v>100.0094</v>
      </c>
      <c r="F35" s="40">
        <v>8704.2281205399995</v>
      </c>
      <c r="G35" s="40">
        <v>99.46</v>
      </c>
      <c r="H35" s="40">
        <v>1226.54072</v>
      </c>
      <c r="I35" s="40">
        <v>5429.99</v>
      </c>
      <c r="J35" s="40">
        <v>3.25</v>
      </c>
      <c r="K35" s="40">
        <v>3</v>
      </c>
      <c r="L35" s="40">
        <v>0</v>
      </c>
      <c r="M35" s="40">
        <v>87.034099999999995</v>
      </c>
      <c r="N35" s="40">
        <v>12.332000000000001</v>
      </c>
    </row>
    <row r="36" spans="1:14" x14ac:dyDescent="0.25">
      <c r="A36" s="22">
        <v>45138</v>
      </c>
      <c r="B36" s="47">
        <v>1484.17</v>
      </c>
      <c r="C36" s="40">
        <v>623.11</v>
      </c>
      <c r="D36" s="40">
        <v>6805.15</v>
      </c>
      <c r="E36" s="40">
        <v>97.504999999999995</v>
      </c>
      <c r="F36" s="40">
        <v>8870.8391415000006</v>
      </c>
      <c r="G36" s="40">
        <v>99.14</v>
      </c>
      <c r="H36" s="40">
        <v>1269.78512</v>
      </c>
      <c r="I36" s="40">
        <v>5705</v>
      </c>
      <c r="J36" s="40">
        <v>4.3</v>
      </c>
      <c r="K36" s="40">
        <v>3.2</v>
      </c>
      <c r="L36" s="40">
        <v>-0.3</v>
      </c>
      <c r="M36" s="40">
        <v>90.978300000000004</v>
      </c>
      <c r="N36" s="40">
        <v>12.808</v>
      </c>
    </row>
    <row r="37" spans="1:14" x14ac:dyDescent="0.25">
      <c r="A37" s="22">
        <v>45146</v>
      </c>
      <c r="B37" s="47">
        <v>1486.77</v>
      </c>
      <c r="C37" s="58">
        <v>620.71</v>
      </c>
      <c r="D37" s="58">
        <v>6831.3</v>
      </c>
      <c r="E37" s="58">
        <v>99.075900000000004</v>
      </c>
      <c r="F37" s="40">
        <v>9567.4426201200004</v>
      </c>
      <c r="G37" s="58">
        <v>98.98</v>
      </c>
      <c r="H37" s="40">
        <v>1328.21262</v>
      </c>
      <c r="I37" s="58">
        <v>5959.99</v>
      </c>
      <c r="M37" s="58">
        <v>96.566800000000001</v>
      </c>
      <c r="N37" s="58">
        <v>13.419</v>
      </c>
    </row>
    <row r="38" spans="1:14" x14ac:dyDescent="0.25">
      <c r="A38" s="43">
        <v>45169</v>
      </c>
      <c r="B38" s="47">
        <v>1496.94</v>
      </c>
      <c r="C38" s="40">
        <v>613.04</v>
      </c>
      <c r="D38" s="40">
        <v>7147.21</v>
      </c>
      <c r="E38" s="40">
        <v>100.7902</v>
      </c>
      <c r="F38" s="40">
        <v>9668.6325426599997</v>
      </c>
      <c r="G38" s="40">
        <v>99.57</v>
      </c>
      <c r="H38" s="40">
        <v>1311.3369</v>
      </c>
      <c r="I38" s="40">
        <v>5980.99</v>
      </c>
      <c r="J38" s="40">
        <v>5.15</v>
      </c>
      <c r="K38" s="40">
        <v>3.7</v>
      </c>
      <c r="L38" s="40">
        <v>0.1</v>
      </c>
      <c r="M38" s="40">
        <v>95.928299999999993</v>
      </c>
      <c r="N38" s="40">
        <v>13.17</v>
      </c>
    </row>
    <row r="39" spans="1:14" x14ac:dyDescent="0.25">
      <c r="A39" s="43">
        <v>45199</v>
      </c>
      <c r="B39" s="47">
        <v>1511.4</v>
      </c>
      <c r="C39" s="40">
        <v>595.07000000000005</v>
      </c>
      <c r="D39" s="40">
        <v>6937.46</v>
      </c>
      <c r="E39" s="40">
        <v>105.1211</v>
      </c>
      <c r="F39" s="40">
        <v>10240.34042017</v>
      </c>
      <c r="G39" s="40">
        <v>99.56</v>
      </c>
      <c r="H39" s="40">
        <v>1343.3630800000001</v>
      </c>
      <c r="I39" s="40">
        <v>5828.26</v>
      </c>
      <c r="J39" s="40">
        <v>6</v>
      </c>
      <c r="K39" s="40">
        <v>3.7</v>
      </c>
      <c r="L39" s="40">
        <v>0</v>
      </c>
      <c r="M39" s="40">
        <v>97.414699999999996</v>
      </c>
      <c r="N39" s="40">
        <v>13.493</v>
      </c>
    </row>
    <row r="40" spans="1:14" x14ac:dyDescent="0.25">
      <c r="A40" s="43">
        <v>45230</v>
      </c>
      <c r="B40" s="47">
        <v>1528.56</v>
      </c>
      <c r="C40" s="40">
        <v>590.69000000000005</v>
      </c>
      <c r="D40" s="40">
        <v>7117.04</v>
      </c>
      <c r="E40" s="40">
        <v>108.6065</v>
      </c>
      <c r="F40" s="40">
        <v>10126.850182749999</v>
      </c>
      <c r="G40" s="40">
        <v>99.74</v>
      </c>
      <c r="H40" s="40">
        <v>1265.2019</v>
      </c>
      <c r="I40" s="40">
        <v>5818.99</v>
      </c>
      <c r="J40" s="40">
        <v>6.69</v>
      </c>
      <c r="K40" s="40">
        <v>3.2</v>
      </c>
      <c r="L40" s="40">
        <v>-0.2</v>
      </c>
      <c r="M40" s="40">
        <v>93.243499999999997</v>
      </c>
      <c r="N40" s="40">
        <v>12.685</v>
      </c>
    </row>
    <row r="41" spans="1:14" x14ac:dyDescent="0.25">
      <c r="A41" s="14">
        <v>45231</v>
      </c>
      <c r="B41" s="47">
        <v>1529.17</v>
      </c>
      <c r="C41" s="58">
        <v>592.15</v>
      </c>
      <c r="D41" s="58">
        <v>7129.38</v>
      </c>
      <c r="E41" s="58">
        <v>109.68689999999999</v>
      </c>
      <c r="F41" s="40">
        <v>10093.673723939999</v>
      </c>
      <c r="G41" s="58">
        <v>99.9</v>
      </c>
      <c r="H41" s="40">
        <v>1262.6360999999999</v>
      </c>
      <c r="I41" s="58">
        <v>5727.95</v>
      </c>
      <c r="M41" s="58">
        <v>92.022599999999997</v>
      </c>
      <c r="N41" s="58">
        <v>12.638999999999999</v>
      </c>
    </row>
    <row r="42" spans="1:14" x14ac:dyDescent="0.25">
      <c r="A42" s="43">
        <v>45260</v>
      </c>
      <c r="B42" s="47">
        <v>1547.2</v>
      </c>
      <c r="C42" s="40">
        <v>617.69000000000005</v>
      </c>
      <c r="D42" s="40">
        <v>7038.83</v>
      </c>
      <c r="E42" s="40">
        <v>113.81570000000001</v>
      </c>
      <c r="F42" s="40">
        <v>10116.406060370002</v>
      </c>
      <c r="G42" s="40">
        <v>100.1</v>
      </c>
      <c r="H42" s="40">
        <v>1250.1488999999999</v>
      </c>
      <c r="I42" s="40">
        <v>5712.01</v>
      </c>
      <c r="J42" s="40">
        <v>7.48</v>
      </c>
      <c r="K42" s="40">
        <v>3.1</v>
      </c>
      <c r="L42" s="40">
        <v>-0.5</v>
      </c>
      <c r="M42" s="40">
        <v>88.884100000000004</v>
      </c>
      <c r="N42" s="40">
        <v>12.489000000000001</v>
      </c>
    </row>
    <row r="43" spans="1:14" x14ac:dyDescent="0.25">
      <c r="A43" s="22">
        <v>45291</v>
      </c>
      <c r="B43" s="47">
        <v>1565.29</v>
      </c>
      <c r="C43" s="40">
        <v>616.37</v>
      </c>
      <c r="D43" s="40">
        <v>6997.68</v>
      </c>
      <c r="E43" s="40">
        <v>115.602</v>
      </c>
      <c r="F43" s="40">
        <v>10368.1468566</v>
      </c>
      <c r="G43" s="40">
        <v>100.15</v>
      </c>
      <c r="H43" s="40">
        <v>1263.041725</v>
      </c>
      <c r="I43" s="40">
        <v>5912.72</v>
      </c>
      <c r="J43" s="40">
        <v>7.42</v>
      </c>
      <c r="K43" s="40">
        <v>3.4</v>
      </c>
      <c r="L43" s="40">
        <v>-0.3</v>
      </c>
      <c r="M43" s="40">
        <v>89.688299999999998</v>
      </c>
      <c r="N43" s="40">
        <v>12.611499999999999</v>
      </c>
    </row>
    <row r="44" spans="1:14" x14ac:dyDescent="0.25">
      <c r="A44" s="22">
        <v>45322</v>
      </c>
      <c r="B44" s="47">
        <v>1587.96</v>
      </c>
      <c r="C44" s="40">
        <v>621.86</v>
      </c>
      <c r="D44" s="40">
        <v>7302.35</v>
      </c>
      <c r="E44" s="40">
        <v>116.4654</v>
      </c>
      <c r="F44" s="40">
        <v>10399.04416098</v>
      </c>
      <c r="G44" s="40">
        <v>100.7</v>
      </c>
      <c r="H44" s="40">
        <v>1258.8507</v>
      </c>
      <c r="I44" s="40">
        <v>5851.99</v>
      </c>
      <c r="J44" s="40">
        <v>7.44</v>
      </c>
      <c r="K44" s="40">
        <v>3.1</v>
      </c>
      <c r="L44" s="40">
        <v>-0.8</v>
      </c>
      <c r="M44" s="40">
        <v>89.288700000000006</v>
      </c>
      <c r="N44" s="40">
        <v>12.500999999999999</v>
      </c>
    </row>
    <row r="45" spans="1:14" x14ac:dyDescent="0.25">
      <c r="A45" s="22">
        <v>45351</v>
      </c>
      <c r="B45" s="47">
        <v>1607.85</v>
      </c>
      <c r="C45" s="40">
        <v>614.86</v>
      </c>
      <c r="D45" s="40">
        <v>7399.15</v>
      </c>
      <c r="E45" s="40">
        <v>115.2449</v>
      </c>
      <c r="F45" s="40">
        <v>10587.456767080001</v>
      </c>
      <c r="G45" s="40">
        <v>100.71</v>
      </c>
      <c r="H45" s="40">
        <v>1267.1332199999999</v>
      </c>
      <c r="I45" s="40">
        <v>5954.98</v>
      </c>
      <c r="J45" s="40">
        <v>7.69</v>
      </c>
      <c r="K45" s="40">
        <v>3.2</v>
      </c>
      <c r="L45" s="40">
        <v>0.7</v>
      </c>
      <c r="M45" s="40">
        <v>91.869200000000006</v>
      </c>
      <c r="N45" s="40">
        <v>12.582000000000001</v>
      </c>
    </row>
    <row r="46" spans="1:14" x14ac:dyDescent="0.25">
      <c r="A46" s="22">
        <v>45382</v>
      </c>
      <c r="B46" s="47">
        <v>1627.82</v>
      </c>
      <c r="C46" s="40">
        <v>601.17999999999995</v>
      </c>
      <c r="D46" s="40">
        <v>7582.21</v>
      </c>
      <c r="E46" s="40">
        <v>117.499</v>
      </c>
      <c r="F46" s="40">
        <v>10852.912634</v>
      </c>
      <c r="G46" s="40">
        <v>101.06</v>
      </c>
      <c r="H46" s="40">
        <v>1280.53126</v>
      </c>
      <c r="I46" s="40">
        <v>6686.9</v>
      </c>
      <c r="J46" s="40">
        <v>7.72</v>
      </c>
      <c r="K46" s="40">
        <v>3.5</v>
      </c>
      <c r="L46" s="40">
        <v>0.1</v>
      </c>
      <c r="M46" s="40">
        <v>92.366</v>
      </c>
      <c r="N46" s="40">
        <v>12.670999999999999</v>
      </c>
    </row>
    <row r="47" spans="1:14" x14ac:dyDescent="0.25">
      <c r="A47" s="22">
        <v>45412</v>
      </c>
      <c r="B47" s="47">
        <v>1647.4</v>
      </c>
      <c r="C47" s="40">
        <v>598.33000000000004</v>
      </c>
      <c r="D47" s="40">
        <v>7895.13</v>
      </c>
      <c r="E47" s="40">
        <v>120.1862</v>
      </c>
      <c r="F47" s="40">
        <v>11030.581268419999</v>
      </c>
      <c r="G47" s="40">
        <v>101.16</v>
      </c>
      <c r="H47" s="40">
        <v>1288.67724</v>
      </c>
      <c r="I47" s="40">
        <v>6818</v>
      </c>
      <c r="J47" s="40">
        <v>7.84</v>
      </c>
      <c r="K47" s="40">
        <v>3.4</v>
      </c>
      <c r="L47" s="40">
        <v>0.3</v>
      </c>
      <c r="M47" s="40">
        <v>91.7791</v>
      </c>
      <c r="N47" s="40">
        <v>12.739000000000001</v>
      </c>
    </row>
    <row r="48" spans="1:14" x14ac:dyDescent="0.25">
      <c r="A48" s="42">
        <v>45433</v>
      </c>
      <c r="B48" s="47">
        <v>1665.44</v>
      </c>
      <c r="C48" s="58">
        <v>587.65</v>
      </c>
      <c r="D48" s="58">
        <v>7877.95</v>
      </c>
      <c r="E48" s="58">
        <v>117.4271</v>
      </c>
      <c r="F48" s="40">
        <v>10645.20109527</v>
      </c>
      <c r="G48" s="58">
        <v>101.35</v>
      </c>
      <c r="H48" s="40">
        <v>1257.5508</v>
      </c>
      <c r="I48" s="58">
        <v>6969.5</v>
      </c>
      <c r="M48" s="58">
        <v>90.653700000000001</v>
      </c>
      <c r="N48" s="58">
        <v>12.407999999999999</v>
      </c>
    </row>
    <row r="49" spans="1:14" x14ac:dyDescent="0.25">
      <c r="A49" s="44">
        <v>45443</v>
      </c>
      <c r="B49" s="47">
        <v>1672.67</v>
      </c>
      <c r="C49" s="40">
        <v>570.78</v>
      </c>
      <c r="D49" s="40">
        <v>7412.1</v>
      </c>
      <c r="E49" s="40">
        <v>117.009</v>
      </c>
      <c r="F49" s="40">
        <v>10505.875382100001</v>
      </c>
      <c r="G49" s="40">
        <v>101.55</v>
      </c>
      <c r="H49" s="40">
        <v>1258.0013999999999</v>
      </c>
      <c r="I49" s="40">
        <v>6671</v>
      </c>
      <c r="J49" s="40">
        <v>8.3000000000000007</v>
      </c>
      <c r="K49" s="40">
        <v>3.3</v>
      </c>
      <c r="L49" s="40">
        <v>0.3</v>
      </c>
      <c r="M49" s="40">
        <v>89.786900000000003</v>
      </c>
      <c r="N49" s="40">
        <v>12.388</v>
      </c>
    </row>
    <row r="50" spans="1:14" x14ac:dyDescent="0.25">
      <c r="A50" s="44">
        <v>45473</v>
      </c>
      <c r="B50" s="47">
        <v>1692.8</v>
      </c>
      <c r="C50" s="40">
        <v>571.34</v>
      </c>
      <c r="D50" s="40">
        <v>7312.25</v>
      </c>
      <c r="E50" s="40">
        <v>115.1902</v>
      </c>
      <c r="F50" s="40">
        <v>9877.3292696000008</v>
      </c>
      <c r="G50" s="40">
        <v>101.08</v>
      </c>
      <c r="H50" s="40">
        <v>1186.1232600000001</v>
      </c>
      <c r="I50" s="40">
        <v>6524</v>
      </c>
      <c r="J50" s="40">
        <v>8.59</v>
      </c>
      <c r="K50" s="40">
        <v>3</v>
      </c>
      <c r="L50" s="40">
        <v>0.2</v>
      </c>
      <c r="M50" s="40">
        <v>85.748000000000005</v>
      </c>
      <c r="N50" s="40">
        <v>11.734500000000001</v>
      </c>
    </row>
    <row r="51" spans="1:14" x14ac:dyDescent="0.25">
      <c r="A51" s="44">
        <v>45504</v>
      </c>
      <c r="B51" s="47">
        <v>1717.36</v>
      </c>
      <c r="C51" s="40">
        <v>562.47</v>
      </c>
      <c r="D51" s="40">
        <v>7048.73</v>
      </c>
      <c r="E51" s="40">
        <v>110.8057</v>
      </c>
      <c r="F51" s="40">
        <v>9541.3791018699994</v>
      </c>
      <c r="G51" s="40">
        <v>99.92</v>
      </c>
      <c r="H51" s="40">
        <v>1183.0527999999999</v>
      </c>
      <c r="I51" s="40">
        <v>6760</v>
      </c>
      <c r="J51" s="40">
        <v>9.1300000000000008</v>
      </c>
      <c r="K51" s="40">
        <v>2.9</v>
      </c>
      <c r="L51" s="40">
        <v>0.5</v>
      </c>
      <c r="M51" s="40">
        <v>86.109099999999998</v>
      </c>
      <c r="N51" s="40">
        <v>11.84</v>
      </c>
    </row>
    <row r="52" spans="1:14" x14ac:dyDescent="0.25">
      <c r="A52" s="44">
        <v>45535</v>
      </c>
      <c r="B52" s="47">
        <v>1742.22</v>
      </c>
      <c r="C52" s="40">
        <v>563.02</v>
      </c>
      <c r="D52" s="40">
        <v>6348.43</v>
      </c>
      <c r="E52" s="40">
        <v>104.4851</v>
      </c>
      <c r="F52" s="40">
        <v>9527.661916680001</v>
      </c>
      <c r="G52" s="40">
        <v>100.19</v>
      </c>
      <c r="H52" s="40">
        <v>1207.18931</v>
      </c>
      <c r="I52" s="40">
        <v>7251</v>
      </c>
      <c r="J52" s="40">
        <v>9.0500000000000007</v>
      </c>
      <c r="K52" s="40">
        <v>2.5</v>
      </c>
      <c r="L52" s="40">
        <v>0.6</v>
      </c>
      <c r="M52" s="40">
        <v>91.186800000000005</v>
      </c>
      <c r="N52" s="40">
        <v>12.048999999999999</v>
      </c>
    </row>
    <row r="53" spans="1:14" x14ac:dyDescent="0.25">
      <c r="A53" s="42">
        <v>45545</v>
      </c>
      <c r="B53" s="47">
        <v>1751.95</v>
      </c>
      <c r="C53" s="58">
        <v>573.85</v>
      </c>
      <c r="D53" s="58">
        <v>6401.99</v>
      </c>
      <c r="E53" s="58">
        <v>105.795</v>
      </c>
      <c r="F53" s="40">
        <v>9562.3128135000006</v>
      </c>
      <c r="G53" s="58">
        <v>98.53</v>
      </c>
      <c r="H53" s="40">
        <v>1249.55746</v>
      </c>
      <c r="I53" s="58">
        <v>7313</v>
      </c>
      <c r="M53" s="58">
        <v>90.385300000000001</v>
      </c>
      <c r="N53" s="58">
        <v>12.682</v>
      </c>
    </row>
    <row r="54" spans="1:14" x14ac:dyDescent="0.25">
      <c r="A54" s="22">
        <v>45565</v>
      </c>
      <c r="B54" s="47">
        <v>1769.6</v>
      </c>
      <c r="C54" s="40">
        <v>559.41</v>
      </c>
      <c r="D54" s="40">
        <v>6862.15</v>
      </c>
      <c r="E54" s="40">
        <v>105.7167</v>
      </c>
      <c r="F54" s="40">
        <v>9855.1327790699997</v>
      </c>
      <c r="G54" s="40">
        <v>97.84</v>
      </c>
      <c r="H54" s="40">
        <v>1295.4016000000001</v>
      </c>
      <c r="I54" s="40">
        <v>7909</v>
      </c>
      <c r="J54" s="40">
        <v>8.6300000000000008</v>
      </c>
      <c r="K54" s="40">
        <v>2.4</v>
      </c>
      <c r="L54" s="40">
        <v>0.4</v>
      </c>
      <c r="M54" s="40">
        <v>93.222099999999998</v>
      </c>
      <c r="N54" s="40">
        <v>13.24</v>
      </c>
    </row>
    <row r="55" spans="1:14" x14ac:dyDescent="0.25">
      <c r="A55" s="22">
        <v>45596</v>
      </c>
      <c r="B55" s="47">
        <v>1797.83</v>
      </c>
      <c r="C55" s="40">
        <v>536.53</v>
      </c>
      <c r="D55" s="40">
        <v>6191.65</v>
      </c>
      <c r="E55" s="40">
        <v>98.136499999999998</v>
      </c>
      <c r="F55" s="40">
        <v>9521.4583848999991</v>
      </c>
      <c r="G55" s="40">
        <v>94.83</v>
      </c>
      <c r="H55" s="40">
        <v>1287.3172499999998</v>
      </c>
      <c r="I55" s="40">
        <v>8530</v>
      </c>
      <c r="J55" s="40">
        <v>8.5399999999999991</v>
      </c>
      <c r="K55" s="40">
        <v>2.6</v>
      </c>
      <c r="L55" s="40">
        <v>0.3</v>
      </c>
      <c r="M55" s="40">
        <v>97.022599999999997</v>
      </c>
      <c r="N55" s="40">
        <v>13.574999999999999</v>
      </c>
    </row>
    <row r="56" spans="1:14" x14ac:dyDescent="0.25">
      <c r="A56" s="22">
        <v>45626</v>
      </c>
      <c r="B56" s="47">
        <v>1827.24</v>
      </c>
      <c r="C56" s="40">
        <v>553.66</v>
      </c>
      <c r="D56" s="40">
        <v>6243.84</v>
      </c>
      <c r="E56" s="40">
        <v>101.60939999999999</v>
      </c>
      <c r="F56" s="40">
        <v>10947.488204459998</v>
      </c>
      <c r="G56" s="40">
        <v>97.22</v>
      </c>
      <c r="H56" s="40">
        <v>1409.7386100000001</v>
      </c>
      <c r="I56" s="40">
        <v>8980</v>
      </c>
      <c r="J56" s="40">
        <v>8.8800000000000008</v>
      </c>
      <c r="K56" s="40">
        <v>2.7</v>
      </c>
      <c r="L56" s="40">
        <v>0.2</v>
      </c>
      <c r="M56" s="40">
        <v>107.7409</v>
      </c>
      <c r="N56" s="40">
        <v>14.500500000000001</v>
      </c>
    </row>
    <row r="57" spans="1:14" x14ac:dyDescent="0.25">
      <c r="A57" s="22">
        <v>45657</v>
      </c>
      <c r="B57" s="47">
        <v>1856.94</v>
      </c>
      <c r="C57" s="40">
        <v>603.39</v>
      </c>
      <c r="D57" s="40">
        <v>7112.22</v>
      </c>
      <c r="E57" s="40">
        <v>111.1712</v>
      </c>
      <c r="F57" s="40">
        <v>11303.85426464</v>
      </c>
      <c r="G57" s="40">
        <v>102.98</v>
      </c>
      <c r="H57" s="40">
        <v>1411.3409000000001</v>
      </c>
      <c r="I57" s="40">
        <v>8550</v>
      </c>
      <c r="J57" s="40">
        <v>9.52</v>
      </c>
      <c r="K57" s="40">
        <v>2.9</v>
      </c>
      <c r="L57" s="40">
        <v>0.1</v>
      </c>
      <c r="M57" s="40">
        <v>101.6797</v>
      </c>
      <c r="N57" s="40">
        <v>13.705</v>
      </c>
    </row>
    <row r="58" spans="1:14" x14ac:dyDescent="0.25">
      <c r="A58" s="22">
        <v>45688</v>
      </c>
      <c r="B58" s="47">
        <v>1893.8</v>
      </c>
      <c r="C58" s="40">
        <v>592.69000000000005</v>
      </c>
      <c r="D58" s="40">
        <v>7306.68</v>
      </c>
      <c r="E58" s="40">
        <v>111.2711</v>
      </c>
      <c r="F58" s="40">
        <v>10883.50418077</v>
      </c>
      <c r="G58" s="40">
        <v>104.09</v>
      </c>
      <c r="H58" s="40">
        <v>1390.0178599999999</v>
      </c>
      <c r="I58" s="40">
        <v>8840</v>
      </c>
      <c r="J58" s="40">
        <v>9.92</v>
      </c>
      <c r="K58" s="40">
        <v>3</v>
      </c>
      <c r="L58" s="40">
        <v>0.5</v>
      </c>
      <c r="M58" s="40">
        <v>97.810699999999997</v>
      </c>
      <c r="N58" s="40">
        <v>13.353999999999999</v>
      </c>
    </row>
    <row r="59" spans="1:14" x14ac:dyDescent="0.25">
      <c r="A59" s="22">
        <v>45716</v>
      </c>
      <c r="B59" s="47">
        <v>1924.16</v>
      </c>
      <c r="C59" s="40">
        <v>619.80999999999995</v>
      </c>
      <c r="D59" s="40">
        <v>7932.19</v>
      </c>
      <c r="E59" s="40">
        <v>119.0765</v>
      </c>
      <c r="F59" s="40">
        <v>10509.3108452</v>
      </c>
      <c r="G59" s="40">
        <v>106.47</v>
      </c>
      <c r="H59" s="40">
        <v>1290.7358099999999</v>
      </c>
      <c r="I59" s="40">
        <v>8168.5</v>
      </c>
      <c r="J59" s="40">
        <v>10.06</v>
      </c>
      <c r="K59" s="40">
        <v>2.8</v>
      </c>
      <c r="L59" s="40">
        <v>-0.7</v>
      </c>
      <c r="M59" s="40">
        <v>88.256799999999998</v>
      </c>
      <c r="N59" s="40">
        <v>12.122999999999999</v>
      </c>
    </row>
    <row r="60" spans="1:14" x14ac:dyDescent="0.25">
      <c r="A60" s="42">
        <v>45728</v>
      </c>
      <c r="B60" s="47">
        <v>1937.71</v>
      </c>
      <c r="C60" s="58">
        <v>640.80999999999995</v>
      </c>
      <c r="D60" s="58">
        <v>7891.28</v>
      </c>
      <c r="E60" s="58">
        <v>116.5564</v>
      </c>
      <c r="F60" s="40">
        <v>10089.926223160001</v>
      </c>
      <c r="G60" s="58">
        <v>105.84</v>
      </c>
      <c r="H60" s="40">
        <v>1263.3062400000001</v>
      </c>
      <c r="I60" s="58">
        <v>8212.9</v>
      </c>
      <c r="J60" s="40">
        <v>10.06</v>
      </c>
      <c r="K60" s="40">
        <v>2.8</v>
      </c>
      <c r="L60" s="40">
        <v>-0.7</v>
      </c>
      <c r="M60" s="58">
        <v>86.566900000000004</v>
      </c>
      <c r="N60" s="58">
        <v>11.936</v>
      </c>
    </row>
    <row r="61" spans="1:14" x14ac:dyDescent="0.25">
      <c r="A61" s="22">
        <v>45747</v>
      </c>
      <c r="B61" s="47">
        <v>1959.38</v>
      </c>
      <c r="C61" s="40">
        <v>632.41999999999996</v>
      </c>
      <c r="D61" s="40">
        <v>7468.42</v>
      </c>
      <c r="E61" s="40">
        <v>119.765</v>
      </c>
      <c r="F61" s="40">
        <v>10239.464369500001</v>
      </c>
      <c r="G61" s="40">
        <v>107.74</v>
      </c>
      <c r="H61" s="40">
        <v>1258.5109399999999</v>
      </c>
      <c r="I61" s="40">
        <v>8500.1</v>
      </c>
      <c r="J61" s="40">
        <v>10.34</v>
      </c>
      <c r="K61" s="40">
        <v>2.4</v>
      </c>
      <c r="L61" s="40">
        <v>-0.1</v>
      </c>
      <c r="M61" s="40">
        <v>85.496300000000005</v>
      </c>
      <c r="N61" s="40">
        <v>11.680999999999999</v>
      </c>
    </row>
    <row r="62" spans="1:14" x14ac:dyDescent="0.25">
      <c r="A62" s="22">
        <v>45777</v>
      </c>
      <c r="B62" s="47">
        <v>1993.59</v>
      </c>
      <c r="C62" s="40">
        <v>633.29999999999995</v>
      </c>
      <c r="D62" s="40">
        <v>7260.46</v>
      </c>
      <c r="E62" s="40">
        <v>119.39400000000001</v>
      </c>
      <c r="F62" s="40">
        <v>9729.8110602000015</v>
      </c>
      <c r="G62" s="40">
        <v>109.51</v>
      </c>
      <c r="H62" s="40">
        <v>1222.6791499999999</v>
      </c>
      <c r="I62" s="40">
        <v>8610.2999999999993</v>
      </c>
      <c r="J62" s="40">
        <v>10.23</v>
      </c>
      <c r="K62" s="40">
        <v>2.2999999999999998</v>
      </c>
      <c r="L62" s="40">
        <v>-0.1</v>
      </c>
      <c r="M62" s="40">
        <v>81.493300000000005</v>
      </c>
      <c r="N62" s="40">
        <v>11.164999999999999</v>
      </c>
    </row>
    <row r="63" spans="1:14" x14ac:dyDescent="0.25">
      <c r="A63" s="22">
        <v>45808</v>
      </c>
      <c r="B63" s="47">
        <v>2027.94</v>
      </c>
      <c r="C63" s="40">
        <v>650.15</v>
      </c>
      <c r="D63" s="40">
        <v>7044.2</v>
      </c>
      <c r="E63" s="40">
        <v>120.37779999999999</v>
      </c>
      <c r="F63" s="40">
        <v>9463.7535403799993</v>
      </c>
      <c r="G63" s="40">
        <v>110.38</v>
      </c>
      <c r="H63" s="40">
        <v>1203.4731400000001</v>
      </c>
      <c r="I63" s="40">
        <v>8285.7999999999993</v>
      </c>
      <c r="J63" s="40">
        <v>9.8800000000000008</v>
      </c>
      <c r="K63" s="40">
        <v>2.4</v>
      </c>
      <c r="L63" s="40">
        <v>-0.1</v>
      </c>
      <c r="M63" s="40">
        <v>78.617099999999994</v>
      </c>
      <c r="N63" s="40">
        <v>10.903</v>
      </c>
    </row>
    <row r="64" spans="1:14" x14ac:dyDescent="0.25">
      <c r="A64" s="22">
        <v>45838</v>
      </c>
      <c r="B64" s="47">
        <v>2062.85</v>
      </c>
      <c r="C64" s="40">
        <v>686.13</v>
      </c>
      <c r="D64" s="40">
        <v>7220.37</v>
      </c>
      <c r="E64" s="40">
        <v>120.2672</v>
      </c>
      <c r="F64" s="40">
        <v>9444.390788480001</v>
      </c>
      <c r="G64" s="40">
        <v>112.02</v>
      </c>
      <c r="H64" s="40">
        <v>1223.2583999999999</v>
      </c>
      <c r="I64" s="40">
        <v>8208</v>
      </c>
      <c r="J64" s="40">
        <v>9.4</v>
      </c>
      <c r="K64" s="40">
        <v>2.7</v>
      </c>
      <c r="L64" s="40">
        <v>0.1</v>
      </c>
      <c r="M64" s="40">
        <v>78.528400000000005</v>
      </c>
      <c r="N64" s="40">
        <v>10.92</v>
      </c>
    </row>
    <row r="65" spans="1:14" x14ac:dyDescent="0.25">
      <c r="A65" s="22">
        <v>45869</v>
      </c>
      <c r="B65" s="47">
        <v>2096.8200000000002</v>
      </c>
      <c r="C65" s="40">
        <v>716.77</v>
      </c>
      <c r="D65" s="40">
        <v>7163.29</v>
      </c>
      <c r="E65" s="40">
        <v>122.73569999999999</v>
      </c>
      <c r="F65" s="40">
        <v>9857.6773019100001</v>
      </c>
      <c r="G65" s="40">
        <v>111.71</v>
      </c>
      <c r="H65" s="40">
        <v>1239.75758</v>
      </c>
      <c r="I65" s="40">
        <v>8421.1</v>
      </c>
      <c r="J65" s="40">
        <v>8.7899999999999991</v>
      </c>
      <c r="K65" s="40">
        <v>2.7</v>
      </c>
      <c r="L65" s="40">
        <v>0</v>
      </c>
      <c r="M65" s="40">
        <v>80.316299999999998</v>
      </c>
      <c r="N65" s="40">
        <v>11.098000000000001</v>
      </c>
    </row>
    <row r="66" spans="1:14" x14ac:dyDescent="0.25">
      <c r="A66" s="22">
        <v>45900</v>
      </c>
      <c r="B66" s="47">
        <v>2126.59</v>
      </c>
      <c r="C66" s="40">
        <v>721.48</v>
      </c>
      <c r="D66" s="40">
        <v>7603.98</v>
      </c>
      <c r="E66" s="40">
        <v>127.0031</v>
      </c>
      <c r="F66" s="40">
        <v>10202.36222796</v>
      </c>
      <c r="G66" s="40">
        <v>112.83</v>
      </c>
      <c r="H66" s="40">
        <v>1270.01448</v>
      </c>
      <c r="I66" s="40">
        <v>8810.2000000000007</v>
      </c>
      <c r="J66" s="40">
        <v>8.1</v>
      </c>
      <c r="K66" s="40">
        <v>2.9</v>
      </c>
      <c r="L66" s="40">
        <v>-0.4</v>
      </c>
      <c r="M66" s="40">
        <v>80.331599999999995</v>
      </c>
      <c r="N66" s="40">
        <v>11.256</v>
      </c>
    </row>
    <row r="67" spans="1:14" x14ac:dyDescent="0.25">
      <c r="A67" s="22">
        <v>45930</v>
      </c>
      <c r="B67" s="47">
        <v>2158.91</v>
      </c>
      <c r="C67" s="40">
        <v>701.76</v>
      </c>
      <c r="D67" s="40">
        <v>7052.01</v>
      </c>
      <c r="E67" s="40">
        <v>123.3806</v>
      </c>
      <c r="F67" s="40">
        <v>10192.273957040001</v>
      </c>
      <c r="G67" s="40">
        <v>112.73</v>
      </c>
      <c r="H67" s="40">
        <v>1298.480505</v>
      </c>
      <c r="I67" s="40">
        <v>10046</v>
      </c>
      <c r="J67" s="40">
        <v>8</v>
      </c>
      <c r="K67" s="40">
        <v>3</v>
      </c>
      <c r="L67" s="40">
        <v>-0.3</v>
      </c>
      <c r="M67" s="40">
        <v>82.608400000000003</v>
      </c>
      <c r="N67" s="40">
        <v>11.5185</v>
      </c>
    </row>
    <row r="68" spans="1:14" x14ac:dyDescent="0.25">
      <c r="A68" s="22">
        <v>45961</v>
      </c>
      <c r="B68" s="47">
        <v>2189.36</v>
      </c>
      <c r="C68" s="40">
        <v>714.6</v>
      </c>
      <c r="D68" s="40">
        <v>6671.92</v>
      </c>
      <c r="E68" s="40">
        <v>123.8573</v>
      </c>
      <c r="F68" s="40">
        <v>10029.419181879999</v>
      </c>
      <c r="G68" s="40">
        <v>112.43</v>
      </c>
      <c r="H68" s="40">
        <v>1266.0180150000001</v>
      </c>
      <c r="I68" s="40">
        <v>10399</v>
      </c>
      <c r="J68" s="40">
        <v>7.7</v>
      </c>
      <c r="K68" s="40" t="e">
        <v>#N/A</v>
      </c>
      <c r="L68" s="40">
        <v>0.2</v>
      </c>
      <c r="M68" s="40">
        <v>80.9756</v>
      </c>
      <c r="N68" s="40">
        <v>11.2605</v>
      </c>
    </row>
    <row r="69" spans="1:14" x14ac:dyDescent="0.25">
      <c r="A69" s="22">
        <v>45991</v>
      </c>
      <c r="B69" s="47">
        <v>2216.83</v>
      </c>
      <c r="C69" s="40">
        <v>728.42</v>
      </c>
      <c r="D69" s="40">
        <v>7071.45</v>
      </c>
      <c r="E69" s="40">
        <v>123.9503</v>
      </c>
      <c r="F69" s="40">
        <v>9696.4336485199983</v>
      </c>
      <c r="G69" s="40">
        <v>112.96</v>
      </c>
      <c r="H69" s="40">
        <v>1233.6361599999998</v>
      </c>
      <c r="I69" s="40">
        <v>10400</v>
      </c>
      <c r="J69" s="40">
        <v>6.6</v>
      </c>
      <c r="K69" s="40">
        <v>2.7</v>
      </c>
      <c r="L69" s="40">
        <v>0.7</v>
      </c>
      <c r="M69" s="40">
        <v>78.228399999999993</v>
      </c>
      <c r="N69" s="40">
        <v>10.920999999999999</v>
      </c>
    </row>
    <row r="70" spans="1:14" x14ac:dyDescent="0.25">
      <c r="A70" s="22">
        <v>46022</v>
      </c>
      <c r="B70" s="47">
        <v>2244.2600000000002</v>
      </c>
      <c r="C70" s="40">
        <v>742.7</v>
      </c>
      <c r="D70" s="40">
        <v>7321.15</v>
      </c>
      <c r="E70" s="40">
        <v>127.81399999999999</v>
      </c>
      <c r="F70" s="40">
        <v>9998.4674337999986</v>
      </c>
      <c r="G70" s="40">
        <v>113.98</v>
      </c>
      <c r="H70" s="40">
        <v>1279.8244300000001</v>
      </c>
      <c r="I70" s="40">
        <v>11011.9</v>
      </c>
      <c r="J70" s="40">
        <v>5.6</v>
      </c>
      <c r="K70" s="40">
        <v>2.7</v>
      </c>
      <c r="L70" s="40">
        <v>0.8</v>
      </c>
      <c r="M70" s="40">
        <v>78.226699999999994</v>
      </c>
      <c r="N70" s="40">
        <v>11.2285</v>
      </c>
    </row>
    <row r="71" spans="1:14" x14ac:dyDescent="0.25">
      <c r="A71" s="42">
        <v>46041</v>
      </c>
      <c r="B71" s="47">
        <v>2267.54</v>
      </c>
      <c r="C71" s="58">
        <v>740.75</v>
      </c>
      <c r="D71" s="58">
        <v>7399.98</v>
      </c>
      <c r="E71" s="58">
        <v>126.05800000000001</v>
      </c>
      <c r="F71" s="40">
        <v>9811.4975256000016</v>
      </c>
      <c r="G71" s="58">
        <v>114.31</v>
      </c>
      <c r="H71" s="40">
        <v>1273.699175</v>
      </c>
      <c r="I71" s="58">
        <v>11645</v>
      </c>
      <c r="M71" s="58">
        <v>77.833200000000005</v>
      </c>
      <c r="N71" s="58">
        <v>11.1425</v>
      </c>
    </row>
    <row r="72" spans="1:14" x14ac:dyDescent="0.25">
      <c r="A72" s="22">
        <v>46053</v>
      </c>
      <c r="B72" s="47">
        <v>2278.2600000000002</v>
      </c>
      <c r="C72" s="40">
        <v>741.51</v>
      </c>
      <c r="D72" s="40">
        <v>7487.4</v>
      </c>
      <c r="E72" s="40">
        <v>127.3762</v>
      </c>
      <c r="F72" s="40">
        <v>9646.5435417399985</v>
      </c>
      <c r="G72" s="40">
        <v>114.85</v>
      </c>
      <c r="H72" s="40">
        <v>1255.9995999999999</v>
      </c>
      <c r="I72" s="40">
        <v>12260</v>
      </c>
      <c r="J72" s="40">
        <v>6</v>
      </c>
      <c r="K72" s="40">
        <v>2.4</v>
      </c>
      <c r="L72" s="40">
        <v>0.2</v>
      </c>
      <c r="M72" s="40">
        <v>75.732699999999994</v>
      </c>
      <c r="N72" s="40">
        <v>10.936</v>
      </c>
    </row>
    <row r="73" spans="1:14" x14ac:dyDescent="0.25">
      <c r="A73" s="22">
        <v>46081</v>
      </c>
      <c r="B73" s="47">
        <v>2305.29</v>
      </c>
      <c r="C73" s="40">
        <v>756.13</v>
      </c>
      <c r="D73" s="40">
        <v>7531.54</v>
      </c>
      <c r="E73" s="40">
        <v>126.3597</v>
      </c>
      <c r="F73" s="40">
        <v>9724.6425120000004</v>
      </c>
      <c r="G73" s="40">
        <v>114.26</v>
      </c>
      <c r="H73" s="40">
        <v>1279.99765</v>
      </c>
      <c r="I73" s="40">
        <v>12999</v>
      </c>
      <c r="J73" s="40">
        <v>5.9</v>
      </c>
      <c r="K73" s="40">
        <v>2.4</v>
      </c>
      <c r="L73" s="40">
        <v>1.3</v>
      </c>
      <c r="M73" s="40">
        <v>76.959999999999994</v>
      </c>
      <c r="N73" s="40">
        <v>11.202500000000001</v>
      </c>
    </row>
    <row r="74" spans="1:14" x14ac:dyDescent="0.25">
      <c r="A74" s="22">
        <v>46112</v>
      </c>
      <c r="B74" s="47">
        <v>2335.66</v>
      </c>
      <c r="C74" s="40">
        <v>770.15</v>
      </c>
      <c r="D74" s="40">
        <v>7470.27</v>
      </c>
      <c r="E74" s="40">
        <v>125.7393</v>
      </c>
      <c r="F74" s="40">
        <v>10173.566762999999</v>
      </c>
      <c r="G74" s="40">
        <v>114.59</v>
      </c>
      <c r="H74" s="40">
        <v>1345.6303700000001</v>
      </c>
      <c r="I74" s="40">
        <v>11899</v>
      </c>
      <c r="J74" s="40">
        <v>5.9</v>
      </c>
      <c r="K74" s="40">
        <v>3.3</v>
      </c>
      <c r="L74" s="40">
        <v>1</v>
      </c>
      <c r="M74" s="40">
        <v>80.91</v>
      </c>
      <c r="N74" s="40">
        <v>11.743</v>
      </c>
    </row>
    <row r="75" spans="1:14" x14ac:dyDescent="0.25">
      <c r="A75" s="22">
        <v>46142</v>
      </c>
      <c r="B75" s="47">
        <v>2363.81</v>
      </c>
      <c r="C75" s="40">
        <v>780.67</v>
      </c>
      <c r="D75" s="40">
        <v>7175.56</v>
      </c>
      <c r="E75" s="40">
        <v>128.94720000000001</v>
      </c>
      <c r="F75" s="40">
        <v>9668.1386880000009</v>
      </c>
      <c r="G75" s="40">
        <v>116.3</v>
      </c>
      <c r="H75" s="40">
        <v>1276.6832499999998</v>
      </c>
      <c r="I75" s="40">
        <v>11080</v>
      </c>
      <c r="M75" s="40">
        <v>74.977500000000006</v>
      </c>
      <c r="N75" s="40">
        <v>10.977499999999999</v>
      </c>
    </row>
  </sheetData>
  <autoFilter ref="A2:N2">
    <sortState ref="A3:M63">
      <sortCondition ref="A2:A6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Шабаев Илья Дмитриевич</dc:creator>
  <cp:lastModifiedBy>Шабаев Илья Дмитриевич</cp:lastModifiedBy>
  <dcterms:created xsi:type="dcterms:W3CDTF">2026-05-07T09:47:03Z</dcterms:created>
  <dcterms:modified xsi:type="dcterms:W3CDTF">2026-05-08T13:56:23Z</dcterms:modified>
</cp:coreProperties>
</file>